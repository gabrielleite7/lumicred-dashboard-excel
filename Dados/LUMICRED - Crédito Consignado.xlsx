
<file path=[Content_Types].xml><?xml version="1.0" encoding="utf-8"?>
<Types xmlns="http://schemas.openxmlformats.org/package/2006/content-types">
  <Default Extension="data" ContentType="application/vnd.openxmlformats-officedocument.model+data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bri\Documents\GitHub - portifólio\Excel\Credito_Consignado_Analytcs\Dados\"/>
    </mc:Choice>
  </mc:AlternateContent>
  <xr:revisionPtr revIDLastSave="0" documentId="13_ncr:1_{6BBBD6DD-E808-4F53-9243-1C53F3ADC3D7}" xr6:coauthVersionLast="47" xr6:coauthVersionMax="47" xr10:uidLastSave="{00000000-0000-0000-0000-000000000000}"/>
  <bookViews>
    <workbookView xWindow="-105" yWindow="0" windowWidth="23865" windowHeight="15585" activeTab="1" xr2:uid="{00000000-000D-0000-FFFF-FFFF00000000}"/>
  </bookViews>
  <sheets>
    <sheet name="Analises" sheetId="1" r:id="rId1"/>
    <sheet name="Dashboard" sheetId="5" r:id="rId2"/>
    <sheet name="Insights" sheetId="6" r:id="rId3"/>
    <sheet name="fContratos" sheetId="2" r:id="rId4"/>
    <sheet name="dCalendario" sheetId="4" r:id="rId5"/>
    <sheet name="dOperador" sheetId="3" r:id="rId6"/>
  </sheets>
  <definedNames>
    <definedName name="_xlcn.WorksheetConnection_CréditoConsignado.xlsxdCalendario1" hidden="1">dCalendario[]</definedName>
    <definedName name="_xlcn.WorksheetConnection_CréditoConsignado.xlsxfContratos1" hidden="1">fContratos[]</definedName>
    <definedName name="_xlcn.WorksheetConnection_CréditoConsignado.xlsxTabela51" hidden="1">Tabela5[]</definedName>
    <definedName name="_xlcn.WorksheetConnection_CréditoConsignado.xlsxTabela71" hidden="1">Tabela7[]</definedName>
    <definedName name="DadosExternos_1" localSheetId="4" hidden="1">dCalendario!$A$1:$E$223</definedName>
    <definedName name="DadosExternos_1" localSheetId="3" hidden="1">fContratos!$A$1:$AC$223</definedName>
  </definedNames>
  <calcPr calcId="191029"/>
  <pivotCaches>
    <pivotCache cacheId="353" r:id="rId7"/>
    <pivotCache cacheId="354" r:id="rId8"/>
    <pivotCache cacheId="355" r:id="rId9"/>
    <pivotCache cacheId="356" r:id="rId10"/>
    <pivotCache cacheId="357" r:id="rId11"/>
    <pivotCache cacheId="358" r:id="rId12"/>
    <pivotCache cacheId="463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5" name="Tabela5" connection="WorksheetConnection_Crédito Consignado.xlsx!Tabela5"/>
          <x15:modelTable id="fContratos" name="fContratos" connection="WorksheetConnection_Crédito Consignado.xlsx!fContratos"/>
          <x15:modelTable id="dCalendario" name="dCalendario" connection="WorksheetConnection_Crédito Consignado.xlsx!dCalendario"/>
          <x15:modelTable id="Tabela7" name="Tabela7" connection="WorksheetConnection_Crédito Consignado.xlsx!Tabela7"/>
        </x15:modelTables>
        <x15:modelRelationships>
          <x15:modelRelationship fromTable="fContratos" fromColumn="DATA LANC." toTable="dCalendario" toColumn="Data"/>
          <x15:modelRelationship fromTable="fContratos" fromColumn="OPERADOR" toTable="Tabela5" toColumn="Operadore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6" l="1" a="1"/>
  <c r="C39" i="6" s="1"/>
  <c r="C38" i="6" a="1"/>
  <c r="C38" i="6" s="1"/>
  <c r="C40" i="6"/>
  <c r="C34" i="6"/>
  <c r="D33" i="6"/>
  <c r="C33" i="6"/>
  <c r="D32" i="6"/>
  <c r="C32" i="6"/>
  <c r="C28" i="6"/>
  <c r="D27" i="6"/>
  <c r="C27" i="6"/>
  <c r="D26" i="6"/>
  <c r="C26" i="6"/>
  <c r="C22" i="6"/>
  <c r="C21" i="6"/>
  <c r="C20" i="6"/>
  <c r="C19" i="6"/>
  <c r="C18" i="6"/>
  <c r="C14" i="6"/>
  <c r="C13" i="6"/>
  <c r="C12" i="6"/>
  <c r="C11" i="6"/>
  <c r="C10" i="6"/>
  <c r="C9" i="6"/>
  <c r="C8" i="6"/>
  <c r="C7" i="6"/>
  <c r="L11" i="1" l="1"/>
  <c r="L10" i="1"/>
  <c r="L9" i="1"/>
  <c r="L8" i="1"/>
  <c r="L7" i="1"/>
  <c r="L6" i="1"/>
  <c r="L5" i="1"/>
  <c r="L12" i="1"/>
  <c r="H10" i="1"/>
  <c r="H9" i="1"/>
  <c r="H8" i="1"/>
  <c r="H7" i="1"/>
  <c r="H6" i="1"/>
  <c r="H5" i="1"/>
  <c r="H4" i="1"/>
  <c r="H3" i="1"/>
  <c r="H11" i="1" s="1"/>
  <c r="C11" i="1"/>
  <c r="C10" i="1"/>
  <c r="C9" i="1"/>
  <c r="C8" i="1"/>
  <c r="C6" i="1"/>
  <c r="C5" i="1"/>
  <c r="C4" i="1"/>
  <c r="C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CCB79F-F93F-412F-BD9B-73B8E41F06C2}" keepAlive="1" name="Consulta - dCalendario" description="Conexão com a consulta 'dCalendario' na pasta de trabalho." type="5" refreshedVersion="8" background="1" saveData="1">
    <dbPr connection="Provider=Microsoft.Mashup.OleDb.1;Data Source=$Workbook$;Location=dCalendario;Extended Properties=&quot;&quot;" command="SELECT * FROM [dCalendario]"/>
  </connection>
  <connection id="2" xr16:uid="{7FC1ACFF-D236-4A89-8CFE-FFEFC4DC12D4}" keepAlive="1" name="Consulta - fContratos" description="Conexão com a consulta 'fContratos' na pasta de trabalho." type="5" refreshedVersion="8" background="1" saveData="1">
    <dbPr connection="Provider=Microsoft.Mashup.OleDb.1;Data Source=$Workbook$;Location=fContratos;Extended Properties=&quot;&quot;" command="SELECT * FROM [fContratos]"/>
  </connection>
  <connection id="3" xr16:uid="{D1A1F82A-0D4B-42E6-A2F5-7AF8B3E0DA5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5A7825B4-87FF-4BB4-8373-ED9A71CED351}" name="WorksheetConnection_Crédito Consignado.xlsx!dCalendario" type="102" refreshedVersion="8" minRefreshableVersion="5">
    <extLst>
      <ext xmlns:x15="http://schemas.microsoft.com/office/spreadsheetml/2010/11/main" uri="{DE250136-89BD-433C-8126-D09CA5730AF9}">
        <x15:connection id="dCalendario">
          <x15:rangePr sourceName="_xlcn.WorksheetConnection_CréditoConsignado.xlsxdCalendario1"/>
        </x15:connection>
      </ext>
    </extLst>
  </connection>
  <connection id="5" xr16:uid="{3C1DC500-227E-4D04-BED7-00289D91CCB5}" name="WorksheetConnection_Crédito Consignado.xlsx!fContratos" type="102" refreshedVersion="8" minRefreshableVersion="5">
    <extLst>
      <ext xmlns:x15="http://schemas.microsoft.com/office/spreadsheetml/2010/11/main" uri="{DE250136-89BD-433C-8126-D09CA5730AF9}">
        <x15:connection id="fContratos" autoDelete="1">
          <x15:rangePr sourceName="_xlcn.WorksheetConnection_CréditoConsignado.xlsxfContratos1"/>
        </x15:connection>
      </ext>
    </extLst>
  </connection>
  <connection id="6" xr16:uid="{3CF32BF7-9828-41DE-97AD-0C9FC3404E20}" name="WorksheetConnection_Crédito Consignado.xlsx!Tabela5" type="102" refreshedVersion="8" minRefreshableVersion="5">
    <extLst>
      <ext xmlns:x15="http://schemas.microsoft.com/office/spreadsheetml/2010/11/main" uri="{DE250136-89BD-433C-8126-D09CA5730AF9}">
        <x15:connection id="Tabela5">
          <x15:rangePr sourceName="_xlcn.WorksheetConnection_CréditoConsignado.xlsxTabela51"/>
        </x15:connection>
      </ext>
    </extLst>
  </connection>
  <connection id="7" xr16:uid="{9C61F7E5-DF48-4FCE-9C91-414988231588}" name="WorksheetConnection_Crédito Consignado.xlsx!Tabela7" type="102" refreshedVersion="8" minRefreshableVersion="5">
    <extLst>
      <ext xmlns:x15="http://schemas.microsoft.com/office/spreadsheetml/2010/11/main" uri="{DE250136-89BD-433C-8126-D09CA5730AF9}">
        <x15:connection id="Tabela7">
          <x15:rangePr sourceName="_xlcn.WorksheetConnection_CréditoConsignado.xlsxTabela7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<sst xmlns="http://schemas.openxmlformats.org/spreadsheetml/2006/main" count="3595" uniqueCount="553">
  <si>
    <t>DATA LANC.</t>
  </si>
  <si>
    <t>RETORNO CIP</t>
  </si>
  <si>
    <t>OPERADOR</t>
  </si>
  <si>
    <t>TIPO DE BENEFICIO</t>
  </si>
  <si>
    <t>CPF</t>
  </si>
  <si>
    <t>NOME</t>
  </si>
  <si>
    <t>Nº CONTRATO</t>
  </si>
  <si>
    <t>TIPO CONT.</t>
  </si>
  <si>
    <t xml:space="preserve">BANCO </t>
  </si>
  <si>
    <t>USUÁRIO</t>
  </si>
  <si>
    <t>STATUS</t>
  </si>
  <si>
    <t>DT. ANÁLISE</t>
  </si>
  <si>
    <t>Status Detalhado</t>
  </si>
  <si>
    <t>PRAZO</t>
  </si>
  <si>
    <t>PARCELA REDUZIDA</t>
  </si>
  <si>
    <t>PARCELA ORIGINAL</t>
  </si>
  <si>
    <t>VLR BRUTO</t>
  </si>
  <si>
    <t>SALDO DEV.</t>
  </si>
  <si>
    <t>VLR LÍQUIDO</t>
  </si>
  <si>
    <t>TABELA</t>
  </si>
  <si>
    <t>RENTABILIDADE</t>
  </si>
  <si>
    <t>TOTAL (R$)</t>
  </si>
  <si>
    <t>DT AVERB.</t>
  </si>
  <si>
    <t>AVERBADO</t>
  </si>
  <si>
    <t>Mês</t>
  </si>
  <si>
    <t>Ano</t>
  </si>
  <si>
    <t>Ano_Mes</t>
  </si>
  <si>
    <t>AMANDA</t>
  </si>
  <si>
    <t>INSS</t>
  </si>
  <si>
    <t/>
  </si>
  <si>
    <t>NOVO (REDUÇÃO)</t>
  </si>
  <si>
    <t>SAFRA</t>
  </si>
  <si>
    <t>CANCELADO</t>
  </si>
  <si>
    <t xml:space="preserve">NOVO </t>
  </si>
  <si>
    <t>REFIN (REDUÇÃO)</t>
  </si>
  <si>
    <t xml:space="preserve">REFIN </t>
  </si>
  <si>
    <t>PEDRO</t>
  </si>
  <si>
    <t>PORT (REDUÇÃO)</t>
  </si>
  <si>
    <t>AG. ASS. DIG</t>
  </si>
  <si>
    <t xml:space="preserve">PORT </t>
  </si>
  <si>
    <t>ALEXANDRE</t>
  </si>
  <si>
    <t>MARIA</t>
  </si>
  <si>
    <t>ANA JULIA</t>
  </si>
  <si>
    <t>REFIN (JUN + RED)</t>
  </si>
  <si>
    <t>DANIELE</t>
  </si>
  <si>
    <t>REFIN DE PORT (REDUÇÃO)</t>
  </si>
  <si>
    <t xml:space="preserve">REFIN DE PORT </t>
  </si>
  <si>
    <t>PAN</t>
  </si>
  <si>
    <t>BRADESCO</t>
  </si>
  <si>
    <t>DIGITAR</t>
  </si>
  <si>
    <t>SAQUE COMP.</t>
  </si>
  <si>
    <t>BMG</t>
  </si>
  <si>
    <t>PENDENTE</t>
  </si>
  <si>
    <t>ITAU BMG</t>
  </si>
  <si>
    <t>CARTÃO S/SAQUE</t>
  </si>
  <si>
    <t>EM ANÁLISE</t>
  </si>
  <si>
    <t>AGUARD. CIP</t>
  </si>
  <si>
    <t>SALDO PAGO</t>
  </si>
  <si>
    <t>NOVO</t>
  </si>
  <si>
    <t>DAYCOVAL</t>
  </si>
  <si>
    <t>GOV SP</t>
  </si>
  <si>
    <t>OLÉ</t>
  </si>
  <si>
    <t>EM NEGOCIAÇÃO</t>
  </si>
  <si>
    <t>C6 BANK</t>
  </si>
  <si>
    <t>CARTÃO C/SAQUE</t>
  </si>
  <si>
    <t>MARGEM 5%</t>
  </si>
  <si>
    <t>REFIN</t>
  </si>
  <si>
    <t>CLAUDIO</t>
  </si>
  <si>
    <t>889.757.507-77</t>
  </si>
  <si>
    <t>379.981.168-14</t>
  </si>
  <si>
    <t>463.115.167-03</t>
  </si>
  <si>
    <t>181.372.091-69</t>
  </si>
  <si>
    <t>360.047.834-19</t>
  </si>
  <si>
    <t>635.575.794-63</t>
  </si>
  <si>
    <t>651.400.432-90</t>
  </si>
  <si>
    <t>335.511.472-45</t>
  </si>
  <si>
    <t>488.012.471-10</t>
  </si>
  <si>
    <t>845.895.485-26</t>
  </si>
  <si>
    <t>958.177.537-57</t>
  </si>
  <si>
    <t>775.282.586-12</t>
  </si>
  <si>
    <t>328.804.696-12</t>
  </si>
  <si>
    <t>836.292.520-15</t>
  </si>
  <si>
    <t>138.167.709-38</t>
  </si>
  <si>
    <t>736.526.833-90</t>
  </si>
  <si>
    <t>239.742.164-93</t>
  </si>
  <si>
    <t>196.119.707-30</t>
  </si>
  <si>
    <t>425.490.298-25</t>
  </si>
  <si>
    <t>471.232.622-00</t>
  </si>
  <si>
    <t>591.568.765-43</t>
  </si>
  <si>
    <t>811.025.517-81</t>
  </si>
  <si>
    <t>089.554.706-08</t>
  </si>
  <si>
    <t>983.669.381-38</t>
  </si>
  <si>
    <t>702.351.082-03</t>
  </si>
  <si>
    <t>373.297.437-52</t>
  </si>
  <si>
    <t>872.356.738-46</t>
  </si>
  <si>
    <t>298.342.563-27</t>
  </si>
  <si>
    <t>582.384.950-03</t>
  </si>
  <si>
    <t>187.382.040-51</t>
  </si>
  <si>
    <t>742.601.274-99</t>
  </si>
  <si>
    <t>920.289.568-31</t>
  </si>
  <si>
    <t>105.304.772-76</t>
  </si>
  <si>
    <t>290.954.711-19</t>
  </si>
  <si>
    <t>134.926.533-42</t>
  </si>
  <si>
    <t>992.757.262-97</t>
  </si>
  <si>
    <t>100.811.864-38</t>
  </si>
  <si>
    <t>293.103.404-43</t>
  </si>
  <si>
    <t>770.868.654-78</t>
  </si>
  <si>
    <t>148.421.749-55</t>
  </si>
  <si>
    <t>809.180.333-79</t>
  </si>
  <si>
    <t>237.515.206-04</t>
  </si>
  <si>
    <t>226.932.065-05</t>
  </si>
  <si>
    <t>323.862.559-76</t>
  </si>
  <si>
    <t>701.275.722-60</t>
  </si>
  <si>
    <t>644.149.229-30</t>
  </si>
  <si>
    <t>884.007.054-26</t>
  </si>
  <si>
    <t>998.574.880-18</t>
  </si>
  <si>
    <t>880.349.039-38</t>
  </si>
  <si>
    <t>355.717.458-91</t>
  </si>
  <si>
    <t>354.687.005-16</t>
  </si>
  <si>
    <t>120.177.811-68</t>
  </si>
  <si>
    <t>501.536.316-56</t>
  </si>
  <si>
    <t>099.941.394-67</t>
  </si>
  <si>
    <t>275.588.948-80</t>
  </si>
  <si>
    <t>663.359.599-65</t>
  </si>
  <si>
    <t>804.912.733-51</t>
  </si>
  <si>
    <t>124.258.428-97</t>
  </si>
  <si>
    <t>247.098.969-29</t>
  </si>
  <si>
    <t>442.700.326-56</t>
  </si>
  <si>
    <t>595.174.857-05</t>
  </si>
  <si>
    <t>814.164.199-14</t>
  </si>
  <si>
    <t>346.057.471-94</t>
  </si>
  <si>
    <t>344.582.273-75</t>
  </si>
  <si>
    <t>429.827.439-67</t>
  </si>
  <si>
    <t>101.699.849-29</t>
  </si>
  <si>
    <t>328.525.175-41</t>
  </si>
  <si>
    <t>197.990.184-22</t>
  </si>
  <si>
    <t>302.318.852-37</t>
  </si>
  <si>
    <t>746.514.957-41</t>
  </si>
  <si>
    <t>925.921.825-18</t>
  </si>
  <si>
    <t>554.868.932-29</t>
  </si>
  <si>
    <t>100.990.131-95</t>
  </si>
  <si>
    <t>234.973.038-94</t>
  </si>
  <si>
    <t>406.571.445-75</t>
  </si>
  <si>
    <t>199.021.480-71</t>
  </si>
  <si>
    <t>983.284.991-25</t>
  </si>
  <si>
    <t>199.919.192-16</t>
  </si>
  <si>
    <t>JOSÉ DA SILVA SANTOS</t>
  </si>
  <si>
    <t>MARIA APARECIDA OLIVEIRA</t>
  </si>
  <si>
    <t>ROSA MARIA CARDOSO</t>
  </si>
  <si>
    <t>FRANCISCA DE SOUZA LIMA</t>
  </si>
  <si>
    <t>JOÃO BATISTA FERREIRA</t>
  </si>
  <si>
    <t>ANA LÚCIA RODRIGUES</t>
  </si>
  <si>
    <t>LUIZ CARLOS ALMEIDA</t>
  </si>
  <si>
    <t>CLAUDETE FERNANDES COSTA</t>
  </si>
  <si>
    <t>PAULO ROBERTO MARTINS</t>
  </si>
  <si>
    <t>TEREZINHA DE JESUS RIBEIRO</t>
  </si>
  <si>
    <t>CARLOS EDUARDO BARBOSA</t>
  </si>
  <si>
    <t>CONCEIÇÃO APARECIDA DIAS</t>
  </si>
  <si>
    <t>MANOEL FRANCISCO GOMES</t>
  </si>
  <si>
    <t>DIRCE MARIA CAMPOS</t>
  </si>
  <si>
    <t>LUZIA HELENA MOREIRA</t>
  </si>
  <si>
    <t>BENEDITO CARLOS ARAÚJO</t>
  </si>
  <si>
    <t>MARLENE DE FÁTIMA PINTO</t>
  </si>
  <si>
    <t>DURVAL ANTÔNIO MACHADO</t>
  </si>
  <si>
    <t>EDNA APARECIDA SOARES</t>
  </si>
  <si>
    <t>GERALDO MAGELA TEIXEIRA</t>
  </si>
  <si>
    <t>IVONE DA CONCEIÇÃO MELO</t>
  </si>
  <si>
    <t>HÉLIO PEREIRA DA CRUZ</t>
  </si>
  <si>
    <t>ALCIDES FERREIRA NETO</t>
  </si>
  <si>
    <t>NAIR DOS SANTOS BORGES</t>
  </si>
  <si>
    <t>NEUSA TEREZINHA CASTRO</t>
  </si>
  <si>
    <t>CÉLIA REGINA CAVALCANTE</t>
  </si>
  <si>
    <t>ANTÔNIO MARCOS RAMOS</t>
  </si>
  <si>
    <t>MARIA DAS GRAÇAS LEAL</t>
  </si>
  <si>
    <t>ORLANDO BATISTA NOGUEIRA</t>
  </si>
  <si>
    <t>VERA LÚCIA MONTEIRO</t>
  </si>
  <si>
    <t>WALTER LUIZ DE PAULA</t>
  </si>
  <si>
    <t>EDUARDO SANTANA FILHO</t>
  </si>
  <si>
    <t>HELENA MARIA BARROS</t>
  </si>
  <si>
    <t>RICARDO PEREIRA GONÇALVES</t>
  </si>
  <si>
    <t>MÁRIO ROBERTO MAGALHÃES</t>
  </si>
  <si>
    <t>CLEUSA MARIA DA SILVA</t>
  </si>
  <si>
    <t>NIVALDO DE SOUZA REIS</t>
  </si>
  <si>
    <t>DALVA MARIA TORRES</t>
  </si>
  <si>
    <t>MERCEDES APARECIDA DUARTE</t>
  </si>
  <si>
    <t>SEBASTIÃO PEREIRA NUNES</t>
  </si>
  <si>
    <t>SÔNIA REGINA VIEIRA</t>
  </si>
  <si>
    <t>ANTÔNIO CARLOS PEREIRA</t>
  </si>
  <si>
    <t>ADEMAR JOSÉ DOS SANTOS</t>
  </si>
  <si>
    <t>DJALMA ROBERTO MENDES</t>
  </si>
  <si>
    <t>ZILDA APARECIDA FREITAS</t>
  </si>
  <si>
    <t>WALDEMAR PEREIRA SOBRINHO</t>
  </si>
  <si>
    <t>IRENE FÁTIMA QUEIROZ</t>
  </si>
  <si>
    <t>SUELI APARECIDA PRADO</t>
  </si>
  <si>
    <t>RAIMUNDO NONATO SILVA</t>
  </si>
  <si>
    <t>AROLDO FERREIRA LIMA</t>
  </si>
  <si>
    <t>SF-100001</t>
  </si>
  <si>
    <t>SF-100002</t>
  </si>
  <si>
    <t>SF-100003</t>
  </si>
  <si>
    <t>SF-100005</t>
  </si>
  <si>
    <t>SF-100006</t>
  </si>
  <si>
    <t>SF-100007</t>
  </si>
  <si>
    <t>SF-100008</t>
  </si>
  <si>
    <t>SF-100009</t>
  </si>
  <si>
    <t>SF-100010</t>
  </si>
  <si>
    <t>SF-100011</t>
  </si>
  <si>
    <t>SF-100012</t>
  </si>
  <si>
    <t>SF-100013</t>
  </si>
  <si>
    <t>PN-100001</t>
  </si>
  <si>
    <t>PN-100002</t>
  </si>
  <si>
    <t>PN-100003</t>
  </si>
  <si>
    <t>PN-100004</t>
  </si>
  <si>
    <t>PN-100005</t>
  </si>
  <si>
    <t>PN-100006</t>
  </si>
  <si>
    <t>PN-100007</t>
  </si>
  <si>
    <t>PN-100008</t>
  </si>
  <si>
    <t>SF-100014</t>
  </si>
  <si>
    <t>SF-100015</t>
  </si>
  <si>
    <t>BR-100001</t>
  </si>
  <si>
    <t>PN-100009</t>
  </si>
  <si>
    <t>PN-100011</t>
  </si>
  <si>
    <t>SF-100016</t>
  </si>
  <si>
    <t>PN-100012</t>
  </si>
  <si>
    <t>PN-100014</t>
  </si>
  <si>
    <t>BM-100001</t>
  </si>
  <si>
    <t>PN-100016</t>
  </si>
  <si>
    <t>IT-100001</t>
  </si>
  <si>
    <t>IT-100002</t>
  </si>
  <si>
    <t>PN-100017</t>
  </si>
  <si>
    <t>PN-100018</t>
  </si>
  <si>
    <t>PN-100019</t>
  </si>
  <si>
    <t>PN-100020</t>
  </si>
  <si>
    <t>PN-100021</t>
  </si>
  <si>
    <t>PN-100022</t>
  </si>
  <si>
    <t>PN-100023</t>
  </si>
  <si>
    <t>PN-100024</t>
  </si>
  <si>
    <t>PN-100025</t>
  </si>
  <si>
    <t>SF-100017</t>
  </si>
  <si>
    <t>SF-100018</t>
  </si>
  <si>
    <t>PN-100026</t>
  </si>
  <si>
    <t>PN-100027</t>
  </si>
  <si>
    <t>BM-100002</t>
  </si>
  <si>
    <t>SF-100019</t>
  </si>
  <si>
    <t>SF-100020</t>
  </si>
  <si>
    <t>BM-100003</t>
  </si>
  <si>
    <t>BR-100002</t>
  </si>
  <si>
    <t>BR-100003</t>
  </si>
  <si>
    <t>BR-100004</t>
  </si>
  <si>
    <t>BR-100005</t>
  </si>
  <si>
    <t>BR-100006</t>
  </si>
  <si>
    <t>BR-100007</t>
  </si>
  <si>
    <t>BR-100008</t>
  </si>
  <si>
    <t>BR-100009</t>
  </si>
  <si>
    <t>SF-100021</t>
  </si>
  <si>
    <t>SF-100022</t>
  </si>
  <si>
    <t>PN-100028</t>
  </si>
  <si>
    <t>PN-100029</t>
  </si>
  <si>
    <t>PN-100030</t>
  </si>
  <si>
    <t>PN-100031</t>
  </si>
  <si>
    <t>BR-100010</t>
  </si>
  <si>
    <t>BR-100011</t>
  </si>
  <si>
    <t>PN-100032</t>
  </si>
  <si>
    <t>PN-100033</t>
  </si>
  <si>
    <t>PN-100034</t>
  </si>
  <si>
    <t>PN-100035</t>
  </si>
  <si>
    <t>PN-100036</t>
  </si>
  <si>
    <t>SF-100023</t>
  </si>
  <si>
    <t>SF-100024</t>
  </si>
  <si>
    <t>SF-100025</t>
  </si>
  <si>
    <t>SF-100026</t>
  </si>
  <si>
    <t>SF-100027</t>
  </si>
  <si>
    <t>SF-100028</t>
  </si>
  <si>
    <t>SF-100029</t>
  </si>
  <si>
    <t>BR-100012</t>
  </si>
  <si>
    <t>BR-100013</t>
  </si>
  <si>
    <t>PN-100037</t>
  </si>
  <si>
    <t>PN-100038</t>
  </si>
  <si>
    <t>PN-100039</t>
  </si>
  <si>
    <t>PN-100040</t>
  </si>
  <si>
    <t>PN-100041</t>
  </si>
  <si>
    <t>PN-100042</t>
  </si>
  <si>
    <t>PN-100043</t>
  </si>
  <si>
    <t>PN-100044</t>
  </si>
  <si>
    <t>PN-100045</t>
  </si>
  <si>
    <t>PN-100046</t>
  </si>
  <si>
    <t>PN-100047</t>
  </si>
  <si>
    <t>PN-100048</t>
  </si>
  <si>
    <t>PN-100049</t>
  </si>
  <si>
    <t>PN-100050</t>
  </si>
  <si>
    <t>PN-100051</t>
  </si>
  <si>
    <t>PN-100052</t>
  </si>
  <si>
    <t>PN-100053</t>
  </si>
  <si>
    <t>PN-100054</t>
  </si>
  <si>
    <t>PN-100055</t>
  </si>
  <si>
    <t>PN-100056</t>
  </si>
  <si>
    <t>PN-100057</t>
  </si>
  <si>
    <t>PN-100058</t>
  </si>
  <si>
    <t>PN-100059</t>
  </si>
  <si>
    <t>PN-100060</t>
  </si>
  <si>
    <t>PN-100061</t>
  </si>
  <si>
    <t>BR-100014</t>
  </si>
  <si>
    <t>BR-100015</t>
  </si>
  <si>
    <t>SF-100030</t>
  </si>
  <si>
    <t>SF-100031</t>
  </si>
  <si>
    <t>PN-100062</t>
  </si>
  <si>
    <t>PN-100063</t>
  </si>
  <si>
    <t>BR-100016</t>
  </si>
  <si>
    <t>BR-100017</t>
  </si>
  <si>
    <t>BR-100018</t>
  </si>
  <si>
    <t>BR-100019</t>
  </si>
  <si>
    <t>BR-100020</t>
  </si>
  <si>
    <t>BR-100021</t>
  </si>
  <si>
    <t>BR-100022</t>
  </si>
  <si>
    <t>PN-100064</t>
  </si>
  <si>
    <t>PN-100065</t>
  </si>
  <si>
    <t>PN-100066</t>
  </si>
  <si>
    <t>BR-100023</t>
  </si>
  <si>
    <t>BR-100024</t>
  </si>
  <si>
    <t>BR-100025</t>
  </si>
  <si>
    <t>BR-100026</t>
  </si>
  <si>
    <t>BR-100027</t>
  </si>
  <si>
    <t>BR-100028</t>
  </si>
  <si>
    <t>BR-100029</t>
  </si>
  <si>
    <t>BR-100030</t>
  </si>
  <si>
    <t>BR-100031</t>
  </si>
  <si>
    <t>BR-100032</t>
  </si>
  <si>
    <t>BR-100033</t>
  </si>
  <si>
    <t>BR-100034</t>
  </si>
  <si>
    <t>BR-100035</t>
  </si>
  <si>
    <t>BR-100036</t>
  </si>
  <si>
    <t>BR-100037</t>
  </si>
  <si>
    <t>BR-100038</t>
  </si>
  <si>
    <t>BR-100039</t>
  </si>
  <si>
    <t>DY-100001</t>
  </si>
  <si>
    <t>DY-100002</t>
  </si>
  <si>
    <t>BR-100040</t>
  </si>
  <si>
    <t>PN-100067</t>
  </si>
  <si>
    <t>PN-100068</t>
  </si>
  <si>
    <t>BR-100041</t>
  </si>
  <si>
    <t>BR-100042</t>
  </si>
  <si>
    <t>BR-100043</t>
  </si>
  <si>
    <t>BR-100044</t>
  </si>
  <si>
    <t>BR-100045</t>
  </si>
  <si>
    <t>BR-100046</t>
  </si>
  <si>
    <t>BR-100047</t>
  </si>
  <si>
    <t>BR-100048</t>
  </si>
  <si>
    <t>BR-100049</t>
  </si>
  <si>
    <t>BR-100050</t>
  </si>
  <si>
    <t>BR-100051</t>
  </si>
  <si>
    <t>BR-100052</t>
  </si>
  <si>
    <t>PN-100069</t>
  </si>
  <si>
    <t>PN-100070</t>
  </si>
  <si>
    <t>PN-100071</t>
  </si>
  <si>
    <t>PN-100072</t>
  </si>
  <si>
    <t>PN-100073</t>
  </si>
  <si>
    <t>PN-100074</t>
  </si>
  <si>
    <t>BR-100053</t>
  </si>
  <si>
    <t>BR-100054</t>
  </si>
  <si>
    <t>BR-100055</t>
  </si>
  <si>
    <t>BR-100056</t>
  </si>
  <si>
    <t>OL-100001</t>
  </si>
  <si>
    <t>BM-100004</t>
  </si>
  <si>
    <t>SF-100032</t>
  </si>
  <si>
    <t>BM-100005</t>
  </si>
  <si>
    <t>BM-100006</t>
  </si>
  <si>
    <t>SF-100033</t>
  </si>
  <si>
    <t>SF-100034</t>
  </si>
  <si>
    <t>BR-100057</t>
  </si>
  <si>
    <t>BR-100058</t>
  </si>
  <si>
    <t>PN-100075</t>
  </si>
  <si>
    <t>PN-100076</t>
  </si>
  <si>
    <t>SF-100035</t>
  </si>
  <si>
    <t>SF-100036</t>
  </si>
  <si>
    <t>PN-100077</t>
  </si>
  <si>
    <t>PN-100078</t>
  </si>
  <si>
    <t>OL-100002</t>
  </si>
  <si>
    <t>OL-100003</t>
  </si>
  <si>
    <t>OL-100004</t>
  </si>
  <si>
    <t>OL-100005</t>
  </si>
  <si>
    <t>OL-100006</t>
  </si>
  <si>
    <t>SF-100037</t>
  </si>
  <si>
    <t>SF-100038</t>
  </si>
  <si>
    <t>BR-100059</t>
  </si>
  <si>
    <t>BR-100060</t>
  </si>
  <si>
    <t>PN-100079</t>
  </si>
  <si>
    <t>PN-100080</t>
  </si>
  <si>
    <t>PN-100081</t>
  </si>
  <si>
    <t>BR-100061</t>
  </si>
  <si>
    <t>PN-100082</t>
  </si>
  <si>
    <t>C6-100001</t>
  </si>
  <si>
    <t>C6-100002</t>
  </si>
  <si>
    <t>BR-100062</t>
  </si>
  <si>
    <t>BR-100063</t>
  </si>
  <si>
    <t>BR-100064</t>
  </si>
  <si>
    <t>SF-100039</t>
  </si>
  <si>
    <t>SF-100040</t>
  </si>
  <si>
    <t>SF-100041</t>
  </si>
  <si>
    <t>SF-100042</t>
  </si>
  <si>
    <t>SF-100043</t>
  </si>
  <si>
    <t>SF-100044</t>
  </si>
  <si>
    <t>BR-100065</t>
  </si>
  <si>
    <t>SF-100045</t>
  </si>
  <si>
    <t>SF-100046</t>
  </si>
  <si>
    <t>PN-100083</t>
  </si>
  <si>
    <t>C6-100003</t>
  </si>
  <si>
    <t>PN-100084</t>
  </si>
  <si>
    <t>BM-100007</t>
  </si>
  <si>
    <t>SF-100048</t>
  </si>
  <si>
    <t>SF-100049</t>
  </si>
  <si>
    <t>SF-100050</t>
  </si>
  <si>
    <t>SF-100051</t>
  </si>
  <si>
    <t>PN-100085</t>
  </si>
  <si>
    <t>contagem de contratos</t>
  </si>
  <si>
    <t>contagem de contratos aberbados</t>
  </si>
  <si>
    <t>valor bruto</t>
  </si>
  <si>
    <t>Ticket médio ( bruto / qtd contratos)</t>
  </si>
  <si>
    <t>prazo dos contratos(dias)</t>
  </si>
  <si>
    <t>% contratos cancelados</t>
  </si>
  <si>
    <t>Rótulos de Linha</t>
  </si>
  <si>
    <t>Total Geral</t>
  </si>
  <si>
    <t>Contagem de Nº CONTRATO</t>
  </si>
  <si>
    <t>CONTAGEM DE CONTRATO POR OPERADOR</t>
  </si>
  <si>
    <t>Soma de VLR BRUTO</t>
  </si>
  <si>
    <t>Valor Bruto por Banco</t>
  </si>
  <si>
    <t>Data</t>
  </si>
  <si>
    <t>Número do Mês</t>
  </si>
  <si>
    <t>Nome do Mês</t>
  </si>
  <si>
    <t>janeiro</t>
  </si>
  <si>
    <t>março</t>
  </si>
  <si>
    <t>fevereiro</t>
  </si>
  <si>
    <t>Coluna1</t>
  </si>
  <si>
    <t>Operadores</t>
  </si>
  <si>
    <t>Faixa Prazo</t>
  </si>
  <si>
    <t>% Converção</t>
  </si>
  <si>
    <t>Volume Bruto averbado</t>
  </si>
  <si>
    <t xml:space="preserve">% de Participação de cada Banco </t>
  </si>
  <si>
    <t>Operador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</si>
  <si>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</si>
  <si>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</si>
  <si>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</si>
  <si>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</si>
  <si>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</si>
  <si>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</si>
  <si>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</si>
  <si>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</si>
  <si>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</si>
  <si>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61-84</t>
  </si>
  <si>
    <t>&lt;24</t>
  </si>
  <si>
    <t>25-60</t>
  </si>
  <si>
    <t>&gt;84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</si>
  <si>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</si>
  <si>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</si>
  <si>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</si>
  <si>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</si>
  <si>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</si>
  <si>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</si>
  <si>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</si>
  <si>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</si>
  <si>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</si>
  <si>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</si>
  <si>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</si>
  <si>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</si>
  <si>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712.435.890-02</t>
  </si>
  <si>
    <t>FERNANDA LIMA SOUZA</t>
  </si>
  <si>
    <t>PN-100087</t>
  </si>
  <si>
    <t>634.218.765-44</t>
  </si>
  <si>
    <t>JORGE ANTONIO MENDES</t>
  </si>
  <si>
    <t>PN-100088</t>
  </si>
  <si>
    <t>503.871.429-61</t>
  </si>
  <si>
    <t>ANA PAULA FERREIRA</t>
  </si>
  <si>
    <t>SF-100052</t>
  </si>
  <si>
    <t>829.046.317-73</t>
  </si>
  <si>
    <t>ROBERTO CARLOS NUNES</t>
  </si>
  <si>
    <t>SF-100053</t>
  </si>
  <si>
    <t>147.632.958-85</t>
  </si>
  <si>
    <t>PATRICIA OLIVEIRA MATOS</t>
  </si>
  <si>
    <t>PN-100089</t>
  </si>
  <si>
    <t>965.283.741-19</t>
  </si>
  <si>
    <t>MARCOS VINÍCIUS COSTA</t>
  </si>
  <si>
    <t>SF-100054</t>
  </si>
  <si>
    <t>Tipo Simples</t>
  </si>
  <si>
    <t>Indicador</t>
  </si>
  <si>
    <t>Valor</t>
  </si>
  <si>
    <t>Leitura</t>
  </si>
  <si>
    <t>Total de contratos digitados</t>
  </si>
  <si>
    <t>Volume operacional do período</t>
  </si>
  <si>
    <t>Contratos averbados (pagos)</t>
  </si>
  <si>
    <t>Contratos que efetivamente geraram receita</t>
  </si>
  <si>
    <t>Taxa de conversão</t>
  </si>
  <si>
    <t>% de contratos digitados que viraram receita</t>
  </si>
  <si>
    <t>Volume bruto digitado (R$)</t>
  </si>
  <si>
    <t>Total movimentado em propostas</t>
  </si>
  <si>
    <t>Volume bruto averbado (R$)</t>
  </si>
  <si>
    <t>Receita efetiva da carteira</t>
  </si>
  <si>
    <t>Ticket médio bruto</t>
  </si>
  <si>
    <t>Valor médio por contrato digitado</t>
  </si>
  <si>
    <t>Taxa de cancelamento</t>
  </si>
  <si>
    <t>% de propostas que foram canceladas</t>
  </si>
  <si>
    <t>Prazo médio (parcelas)</t>
  </si>
  <si>
    <t>Quantidade média de parcelas contratadas</t>
  </si>
  <si>
    <t>Achado</t>
  </si>
  <si>
    <t>Métrica</t>
  </si>
  <si>
    <t>Recomendação</t>
  </si>
  <si>
    <t>Cancelamento ALTO</t>
  </si>
  <si>
    <t>Quase metade dos contratos cancela — investigar causas (análise de crédito, qualidade do lead, scripts)</t>
  </si>
  <si>
    <t>Conversão BAIXA (averbado/digitado)</t>
  </si>
  <si>
    <t>Apenas ~5% dos contratos viram receita — gargalo no funil de averbação</t>
  </si>
  <si>
    <t>Concentração em 2 bancos (PAN + SAFRA)</t>
  </si>
  <si>
    <t>Risco de dependência — diversificar parcerias bancárias</t>
  </si>
  <si>
    <t>Status 'AG. ASS. DIG' parados</t>
  </si>
  <si>
    <t>Contratos aguardando assinatura digital — acionar clientes para finalizar</t>
  </si>
  <si>
    <t>Volume perdido por cancelamento (R$)</t>
  </si>
  <si>
    <t>Valor que entrou no funil mas não virou receita</t>
  </si>
  <si>
    <t>Comentário</t>
  </si>
  <si>
    <t>Operador com mais contratos</t>
  </si>
  <si>
    <t>Operador com menos contratos</t>
  </si>
  <si>
    <t>Top 2 operadores (% da carteira)</t>
  </si>
  <si>
    <t>Concentração de produção em poucos operadores</t>
  </si>
  <si>
    <t>Banco líder em volume bruto</t>
  </si>
  <si>
    <t>Banco com menor volume</t>
  </si>
  <si>
    <t>% top banco no total</t>
  </si>
  <si>
    <t>Concentração em um único banco</t>
  </si>
  <si>
    <t>Mês com mais contratos</t>
  </si>
  <si>
    <t>Mês de pico operacional</t>
  </si>
  <si>
    <t>Mês com menos contratos</t>
  </si>
  <si>
    <t>Mês para reforçar campanhas e prospecção</t>
  </si>
  <si>
    <t>Média mensal de contratos</t>
  </si>
  <si>
    <t>Volume médio digitado por mês</t>
  </si>
  <si>
    <t>Prioridade</t>
  </si>
  <si>
    <t>Ação</t>
  </si>
  <si>
    <t>Impacto esperado</t>
  </si>
  <si>
    <t>ALTA</t>
  </si>
  <si>
    <t>Investigar causas dos cancelamentos (48% da carteira)</t>
  </si>
  <si>
    <t>Reduzir perda de ~R$ 453 mil em volume</t>
  </si>
  <si>
    <t>Acionar contratos parados em AG. ASS. DIG</t>
  </si>
  <si>
    <t>Acelerar averbação e melhorar conversão</t>
  </si>
  <si>
    <t>MÉDIA</t>
  </si>
  <si>
    <t>Diversificar mix de bancos (78% em PAN+SAFRA)</t>
  </si>
  <si>
    <t>Reduzir risco de concentração</t>
  </si>
  <si>
    <t>Replicar práticas da MARIA (44% da produção) para demais</t>
  </si>
  <si>
    <t>Elevar produtividade média da equipe</t>
  </si>
  <si>
    <t>BAIXA</t>
  </si>
  <si>
    <t>Reforçar campanhas nos meses de menor produção</t>
  </si>
  <si>
    <t>Suavizar sazonalidade</t>
  </si>
  <si>
    <t>Avaliar performance do operador CLAUDIO (1 contrato)</t>
  </si>
  <si>
    <t>Realocar ou treinar</t>
  </si>
  <si>
    <t>VISÃO GERAL</t>
  </si>
  <si>
    <t>INSIGHTS DA OPERAÇÃO DE CRÉDITO CONSIGNADO</t>
  </si>
  <si>
    <t xml:space="preserve"> ALERTAS CRÍTICOS</t>
  </si>
  <si>
    <t>DESTAQUES POR OPERADOR</t>
  </si>
  <si>
    <t>DESTAQUES POR BANCO</t>
  </si>
  <si>
    <t>SAZONALIDADE</t>
  </si>
  <si>
    <t>PLANO DE AÇÃO 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</si>
</sst>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%"/>
    <numFmt numFmtId="171" formatCode="\R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44" fontId="0" fillId="0" borderId="0" xfId="2" applyFont="1"/>
    <xf numFmtId="44" fontId="0" fillId="0" borderId="0" xfId="0" applyNumberFormat="1"/>
    <xf numFmtId="43" fontId="0" fillId="0" borderId="0" xfId="1" applyFont="1"/>
    <xf numFmtId="9" fontId="0" fillId="0" borderId="0" xfId="3" applyFont="1"/>
    <xf numFmtId="164" fontId="0" fillId="0" borderId="0" xfId="3" applyNumberFormat="1" applyFont="1"/>
    <xf numFmtId="165" fontId="0" fillId="0" borderId="0" xfId="3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0" applyNumberFormat="1"/>
    <xf numFmtId="0" fontId="2" fillId="2" borderId="0" xfId="0" applyFont="1" applyFill="1" applyBorder="1" applyAlignment="1">
      <alignment horizontal="left"/>
    </xf>
    <xf numFmtId="44" fontId="2" fillId="2" borderId="0" xfId="0" applyNumberFormat="1" applyFont="1" applyFill="1" applyBorder="1"/>
    <xf numFmtId="9" fontId="2" fillId="2" borderId="0" xfId="3" applyFont="1" applyFill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9" fontId="0" fillId="0" borderId="1" xfId="3" applyFont="1" applyBorder="1"/>
    <xf numFmtId="0" fontId="0" fillId="0" borderId="2" xfId="0" applyBorder="1" applyAlignment="1">
      <alignment horizontal="center"/>
    </xf>
    <xf numFmtId="0" fontId="0" fillId="0" borderId="0" xfId="0" applyBorder="1"/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5" fillId="0" borderId="0" xfId="0" applyFont="1" applyFill="1" applyAlignment="1">
      <alignment horizontal="left"/>
    </xf>
    <xf numFmtId="0" fontId="7" fillId="0" borderId="0" xfId="0" applyFont="1" applyFill="1"/>
    <xf numFmtId="0" fontId="4" fillId="0" borderId="0" xfId="0" applyFont="1" applyFill="1"/>
    <xf numFmtId="0" fontId="8" fillId="0" borderId="3" xfId="0" applyFont="1" applyFill="1" applyBorder="1"/>
    <xf numFmtId="0" fontId="8" fillId="0" borderId="3" xfId="0" applyFont="1" applyFill="1" applyBorder="1" applyAlignment="1">
      <alignment horizontal="right"/>
    </xf>
    <xf numFmtId="0" fontId="7" fillId="0" borderId="3" xfId="0" applyFont="1" applyFill="1" applyBorder="1"/>
    <xf numFmtId="3" fontId="8" fillId="0" borderId="3" xfId="0" applyNumberFormat="1" applyFont="1" applyFill="1" applyBorder="1" applyAlignment="1">
      <alignment horizontal="right"/>
    </xf>
    <xf numFmtId="10" fontId="8" fillId="0" borderId="3" xfId="0" applyNumberFormat="1" applyFont="1" applyFill="1" applyBorder="1" applyAlignment="1">
      <alignment horizontal="right"/>
    </xf>
    <xf numFmtId="171" fontId="8" fillId="0" borderId="3" xfId="0" applyNumberFormat="1" applyFont="1" applyFill="1" applyBorder="1" applyAlignment="1">
      <alignment horizontal="right"/>
    </xf>
    <xf numFmtId="1" fontId="8" fillId="0" borderId="3" xfId="0" applyNumberFormat="1" applyFont="1" applyFill="1" applyBorder="1" applyAlignment="1">
      <alignment horizontal="right"/>
    </xf>
    <xf numFmtId="0" fontId="8" fillId="6" borderId="3" xfId="0" applyFont="1" applyFill="1" applyBorder="1"/>
    <xf numFmtId="0" fontId="6" fillId="0" borderId="0" xfId="0" applyFont="1" applyFill="1" applyAlignment="1"/>
    <xf numFmtId="0" fontId="8" fillId="0" borderId="3" xfId="0" applyFont="1" applyFill="1" applyBorder="1" applyAlignment="1">
      <alignment horizontal="right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25">
    <dxf>
      <numFmt numFmtId="0" formatCode="General"/>
    </dxf>
    <dxf>
      <numFmt numFmtId="19" formatCode="dd/mm/yyyy"/>
    </dxf>
    <dxf>
      <numFmt numFmtId="14" formatCode="0.00%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19" formatCode="dd/mm/yyyy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</dxfs>
  <tableStyles count="0" defaultTableStyle="TableStyleMedium2" defaultPivotStyle="PivotStyleLight16"/>
  <colors>
    <mruColors>
      <color rgb="FF2A29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4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[Crédito Consignado.xlsx]Analises!Tabela dinâmica1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</a:t>
            </a:r>
            <a:r>
              <a:rPr lang="en-US" baseline="0"/>
              <a:t> Contratos por Operador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Analises!$C$20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Analises!$B$21:$B$28</c:f>
              <c:strCache>
                <c:ptCount val="7"/>
                <c:pt idx="0">
                  <c:v>MARIA</c:v>
                </c:pt>
                <c:pt idx="1">
                  <c:v>AMANDA</c:v>
                </c:pt>
                <c:pt idx="2">
                  <c:v>DANIELE</c:v>
                </c:pt>
                <c:pt idx="3">
                  <c:v>ALEXANDRE</c:v>
                </c:pt>
                <c:pt idx="4">
                  <c:v>PEDRO</c:v>
                </c:pt>
                <c:pt idx="5">
                  <c:v>ANA JULIA</c:v>
                </c:pt>
                <c:pt idx="6">
                  <c:v>CLAUDIO</c:v>
                </c:pt>
              </c:strCache>
            </c:strRef>
          </c:cat>
          <c:val>
            <c:numRef>
              <c:f>Analises!$C$21:$C$28</c:f>
              <c:numCache>
                <c:formatCode>General</c:formatCode>
                <c:ptCount val="7"/>
                <c:pt idx="0">
                  <c:v>98</c:v>
                </c:pt>
                <c:pt idx="1">
                  <c:v>61</c:v>
                </c:pt>
                <c:pt idx="2">
                  <c:v>24</c:v>
                </c:pt>
                <c:pt idx="3">
                  <c:v>16</c:v>
                </c:pt>
                <c:pt idx="4">
                  <c:v>13</c:v>
                </c:pt>
                <c:pt idx="5">
                  <c:v>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D-4104-B46F-D59A50CF6A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3422512"/>
        <c:axId val="1773439792"/>
      </c:barChart>
      <c:catAx>
        <c:axId val="177342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3439792"/>
        <c:crosses val="autoZero"/>
        <c:auto val="1"/>
        <c:lblAlgn val="ctr"/>
        <c:lblOffset val="100"/>
        <c:noMultiLvlLbl val="0"/>
      </c:catAx>
      <c:valAx>
        <c:axId val="1773439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342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[Crédito Consignado.xlsx]Analises!Tabela dinâmica3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Analises!$I$20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Analises!$H$21:$H$30</c:f>
              <c:strCache>
                <c:ptCount val="9"/>
                <c:pt idx="0">
                  <c:v>CANCELADO</c:v>
                </c:pt>
                <c:pt idx="1">
                  <c:v>AG. ASS. DIG</c:v>
                </c:pt>
                <c:pt idx="2">
                  <c:v>EM ANÁLISE</c:v>
                </c:pt>
                <c:pt idx="3">
                  <c:v>EM NEGOCIAÇÃO</c:v>
                </c:pt>
                <c:pt idx="4">
                  <c:v>PENDENTE</c:v>
                </c:pt>
                <c:pt idx="5">
                  <c:v>AVERBADO</c:v>
                </c:pt>
                <c:pt idx="6">
                  <c:v>AGUARD. CIP</c:v>
                </c:pt>
                <c:pt idx="7">
                  <c:v>DIGITAR</c:v>
                </c:pt>
                <c:pt idx="8">
                  <c:v>SALDO PAGO</c:v>
                </c:pt>
              </c:strCache>
            </c:strRef>
          </c:cat>
          <c:val>
            <c:numRef>
              <c:f>Analises!$I$21:$I$30</c:f>
              <c:numCache>
                <c:formatCode>General</c:formatCode>
                <c:ptCount val="9"/>
                <c:pt idx="0">
                  <c:v>108</c:v>
                </c:pt>
                <c:pt idx="1">
                  <c:v>48</c:v>
                </c:pt>
                <c:pt idx="2">
                  <c:v>19</c:v>
                </c:pt>
                <c:pt idx="3">
                  <c:v>10</c:v>
                </c:pt>
                <c:pt idx="4">
                  <c:v>10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D-45E5-857B-40940F551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[Crédito Consignado.xlsx]Analises!Tabela dinâmica4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Contratos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Analises!$C$90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Analises!$B$91:$B$103</c:f>
              <c:strCache>
                <c:ptCount val="12"/>
                <c:pt idx="0">
                  <c:v>abril</c:v>
                </c:pt>
                <c:pt idx="1">
                  <c:v>agosto</c:v>
                </c:pt>
                <c:pt idx="2">
                  <c:v>dezembro</c:v>
                </c:pt>
                <c:pt idx="3">
                  <c:v>fevereiro</c:v>
                </c:pt>
                <c:pt idx="4">
                  <c:v>janeiro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março</c:v>
                </c:pt>
                <c:pt idx="9">
                  <c:v>novembro</c:v>
                </c:pt>
                <c:pt idx="10">
                  <c:v>outubro</c:v>
                </c:pt>
                <c:pt idx="11">
                  <c:v>setembro</c:v>
                </c:pt>
              </c:strCache>
            </c:strRef>
          </c:cat>
          <c:val>
            <c:numRef>
              <c:f>Analises!$C$91:$C$103</c:f>
              <c:numCache>
                <c:formatCode>General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19</c:v>
                </c:pt>
                <c:pt idx="5">
                  <c:v>19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18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15-41AD-9B4E-6A20E55220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06827455"/>
        <c:axId val="1706827935"/>
      </c:barChart>
      <c:catAx>
        <c:axId val="170682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827935"/>
        <c:crosses val="autoZero"/>
        <c:auto val="1"/>
        <c:lblAlgn val="ctr"/>
        <c:lblOffset val="100"/>
        <c:noMultiLvlLbl val="0"/>
      </c:catAx>
      <c:valAx>
        <c:axId val="1706827935"/>
        <c:scaling>
          <c:orientation val="minMax"/>
          <c:max val="20"/>
        </c:scaling>
        <c:delete val="1"/>
        <c:axPos val="l"/>
        <c:numFmt formatCode="General" sourceLinked="1"/>
        <c:majorTickMark val="out"/>
        <c:minorTickMark val="none"/>
        <c:tickLblPos val="nextTo"/>
        <c:crossAx val="170682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Ranking de Conversão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Analises!$L$4</c:f>
              <c:strCache>
                <c:ptCount val="1"/>
                <c:pt idx="0">
                  <c:v>Coluna1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Analises!$J$5:$J$12</c15:sqref>
                  </c15:fullRef>
                </c:ext>
              </c:extLst>
              <c:f>Analises!$J$5:$J$11</c:f>
              <c:strCache>
                <c:ptCount val="7"/>
                <c:pt idx="0">
                  <c:v>CLAUDIO</c:v>
                </c:pt>
                <c:pt idx="1">
                  <c:v>ANA JULIA</c:v>
                </c:pt>
                <c:pt idx="2">
                  <c:v>PEDRO</c:v>
                </c:pt>
                <c:pt idx="3">
                  <c:v>ALEXANDRE</c:v>
                </c:pt>
                <c:pt idx="4">
                  <c:v>DANIELE</c:v>
                </c:pt>
                <c:pt idx="5">
                  <c:v>AMANDA</c:v>
                </c:pt>
                <c:pt idx="6">
                  <c:v>MARIA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Analises!$L$5:$L$12</c15:sqref>
                  </c15:fullRef>
                </c:ext>
              </c:extLst>
              <c:f>Analises!$L$5:$L$11</c:f>
              <c:numCache>
                <c:formatCode>0%</c:formatCode>
                <c:ptCount val="7"/>
                <c:pt idx="0">
                  <c:v>4.5045045045045045E-3</c:v>
                </c:pt>
                <c:pt idx="1">
                  <c:v>4.0540540540540543E-2</c:v>
                </c:pt>
                <c:pt idx="2">
                  <c:v>5.8558558558558557E-2</c:v>
                </c:pt>
                <c:pt idx="3">
                  <c:v>7.2072072072072071E-2</c:v>
                </c:pt>
                <c:pt idx="4">
                  <c:v>0.10810810810810811</c:v>
                </c:pt>
                <c:pt idx="5">
                  <c:v>0.2747747747747748</c:v>
                </c:pt>
                <c:pt idx="6">
                  <c:v>0.44144144144144143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7-44AA-AFB0-E966988D6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464415"/>
        <c:axId val="17444648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Analises!$K$4</c15:sqref>
                        </c15:formulaRef>
                      </c:ext>
                    </c:extLst>
                    <c:strCache>
                      <c:ptCount val="1"/>
                      <c:pt idx="0">
                        <c:v>Contagem de Nº CONTRATO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Analises!$J$5:$J$12</c15:sqref>
                        </c15:fullRef>
                        <c15:formulaRef>
                          <c15:sqref>Analises!$J$5:$J$11</c15:sqref>
                        </c15:formulaRef>
                      </c:ext>
                    </c:extLst>
                    <c:strCache>
                      <c:ptCount val="7"/>
                      <c:pt idx="0">
                        <c:v>CLAUDIO</c:v>
                      </c:pt>
                      <c:pt idx="1">
                        <c:v>ANA JULIA</c:v>
                      </c:pt>
                      <c:pt idx="2">
                        <c:v>PEDRO</c:v>
                      </c:pt>
                      <c:pt idx="3">
                        <c:v>ALEXANDRE</c:v>
                      </c:pt>
                      <c:pt idx="4">
                        <c:v>DANIELE</c:v>
                      </c:pt>
                      <c:pt idx="5">
                        <c:v>AMANDA</c:v>
                      </c:pt>
                      <c:pt idx="6">
                        <c:v>MARIA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Analises!$K$5:$K$12</c15:sqref>
                        </c15:fullRef>
                        <c15:formulaRef>
                          <c15:sqref>Analises!$K$5:$K$11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9</c:v>
                      </c:pt>
                      <c:pt idx="2">
                        <c:v>13</c:v>
                      </c:pt>
                      <c:pt idx="3">
                        <c:v>16</c:v>
                      </c:pt>
                      <c:pt idx="4">
                        <c:v>24</c:v>
                      </c:pt>
                      <c:pt idx="5">
                        <c:v>61</c:v>
                      </c:pt>
                      <c:pt idx="6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CB7-44AA-AFB0-E966988D60AB}"/>
                  </c:ext>
                </c:extLst>
              </c15:ser>
            </c15:filteredBarSeries>
          </c:ext>
        </c:extLst>
      </c:barChart>
      <c:catAx>
        <c:axId val="174446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464895"/>
        <c:crosses val="autoZero"/>
        <c:auto val="1"/>
        <c:lblAlgn val="ctr"/>
        <c:lblOffset val="100"/>
        <c:noMultiLvlLbl val="0"/>
      </c:catAx>
      <c:valAx>
        <c:axId val="17444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46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[Crédito Consignado.xlsx]Analises!Tabela dinâmica6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Analises!$H$66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Analises!$G$67:$G$79</c:f>
              <c:strCache>
                <c:ptCount val="12"/>
                <c:pt idx="0">
                  <c:v>abril</c:v>
                </c:pt>
                <c:pt idx="1">
                  <c:v>agosto</c:v>
                </c:pt>
                <c:pt idx="2">
                  <c:v>dezembro</c:v>
                </c:pt>
                <c:pt idx="3">
                  <c:v>fevereiro</c:v>
                </c:pt>
                <c:pt idx="4">
                  <c:v>janeiro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março</c:v>
                </c:pt>
                <c:pt idx="9">
                  <c:v>novembro</c:v>
                </c:pt>
                <c:pt idx="10">
                  <c:v>outubro</c:v>
                </c:pt>
                <c:pt idx="11">
                  <c:v>setembro</c:v>
                </c:pt>
              </c:strCache>
            </c:strRef>
          </c:cat>
          <c:val>
            <c:numRef>
              <c:f>Analises!$H$67:$H$79</c:f>
              <c:numCache>
                <c:formatCode>_("R$"* #,##0.00_);_("R$"* \(#,##0.00\);_("R$"* "-"??_);_(@_)</c:formatCode>
                <c:ptCount val="12"/>
                <c:pt idx="0">
                  <c:v>165522.51</c:v>
                </c:pt>
                <c:pt idx="1">
                  <c:v>97435.21</c:v>
                </c:pt>
                <c:pt idx="2">
                  <c:v>186254.76</c:v>
                </c:pt>
                <c:pt idx="3">
                  <c:v>147661.59</c:v>
                </c:pt>
                <c:pt idx="4">
                  <c:v>169027.02</c:v>
                </c:pt>
                <c:pt idx="5">
                  <c:v>76209.210000000006</c:v>
                </c:pt>
                <c:pt idx="6">
                  <c:v>108456.02</c:v>
                </c:pt>
                <c:pt idx="7">
                  <c:v>129219.51</c:v>
                </c:pt>
                <c:pt idx="8">
                  <c:v>85774.23</c:v>
                </c:pt>
                <c:pt idx="9">
                  <c:v>64949.89</c:v>
                </c:pt>
                <c:pt idx="10">
                  <c:v>121571.09</c:v>
                </c:pt>
                <c:pt idx="11">
                  <c:v>54011.39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5-4795-8395-EBC7C1FEC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388095"/>
        <c:axId val="1744407295"/>
      </c:lineChart>
      <c:catAx>
        <c:axId val="17443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407295"/>
        <c:crosses val="autoZero"/>
        <c:auto val="1"/>
        <c:lblAlgn val="ctr"/>
        <c:lblOffset val="100"/>
        <c:noMultiLvlLbl val="0"/>
      </c:catAx>
      <c:valAx>
        <c:axId val="174440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38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[Crédito Consignado.xlsx]Analises!Tabela dinâmica7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Analises!$F$90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Analises!$E$91:$E$99</c:f>
              <c:strCache>
                <c:ptCount val="8"/>
                <c:pt idx="0">
                  <c:v>BMG</c:v>
                </c:pt>
                <c:pt idx="1">
                  <c:v>BRADESCO</c:v>
                </c:pt>
                <c:pt idx="2">
                  <c:v>C6 BANK</c:v>
                </c:pt>
                <c:pt idx="3">
                  <c:v>DAYCOVAL</c:v>
                </c:pt>
                <c:pt idx="4">
                  <c:v>ITAU BMG</c:v>
                </c:pt>
                <c:pt idx="5">
                  <c:v>OLÉ</c:v>
                </c:pt>
                <c:pt idx="6">
                  <c:v>PAN</c:v>
                </c:pt>
                <c:pt idx="7">
                  <c:v>SAFRA</c:v>
                </c:pt>
              </c:strCache>
            </c:strRef>
          </c:cat>
          <c:val>
            <c:numRef>
              <c:f>Analises!$F$91:$F$99</c:f>
              <c:numCache>
                <c:formatCode>_("R$"* #,##0.00_);_("R$"* \(#,##0.00\);_("R$"* "-"??_);_(@_)</c:formatCode>
                <c:ptCount val="8"/>
                <c:pt idx="0">
                  <c:v>3665.45</c:v>
                </c:pt>
                <c:pt idx="1">
                  <c:v>268242.96000000002</c:v>
                </c:pt>
                <c:pt idx="2">
                  <c:v>6647.47</c:v>
                </c:pt>
                <c:pt idx="3">
                  <c:v>23893.37</c:v>
                </c:pt>
                <c:pt idx="4">
                  <c:v>3278.93</c:v>
                </c:pt>
                <c:pt idx="5">
                  <c:v>2868.09</c:v>
                </c:pt>
                <c:pt idx="6">
                  <c:v>615576.4</c:v>
                </c:pt>
                <c:pt idx="7">
                  <c:v>481919.76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3B-459F-B891-82CDBDE15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826975"/>
        <c:axId val="1706832735"/>
      </c:barChart>
      <c:catAx>
        <c:axId val="1706826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832735"/>
        <c:crosses val="autoZero"/>
        <c:auto val="1"/>
        <c:lblAlgn val="ctr"/>
        <c:lblOffset val="100"/>
        <c:noMultiLvlLbl val="0"/>
      </c:catAx>
      <c:valAx>
        <c:axId val="170683273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7068269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[Crédito Consignado.xlsx]Analises!Tabela dinâmica4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latin typeface="Perpetua Titling MT" panose="02020502060505020804" pitchFamily="18" charset="0"/>
              </a:rPr>
              <a:t>CONTRATOS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">
            <a:solidFill>
              <a:schemeClr val="accent5">
                <a:lumMod val="60000"/>
                <a:lumOff val="4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Analises!$C$90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Analises!$B$91:$B$103</c:f>
              <c:strCache>
                <c:ptCount val="12"/>
                <c:pt idx="0">
                  <c:v>abril</c:v>
                </c:pt>
                <c:pt idx="1">
                  <c:v>agosto</c:v>
                </c:pt>
                <c:pt idx="2">
                  <c:v>dezembro</c:v>
                </c:pt>
                <c:pt idx="3">
                  <c:v>fevereiro</c:v>
                </c:pt>
                <c:pt idx="4">
                  <c:v>janeiro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março</c:v>
                </c:pt>
                <c:pt idx="9">
                  <c:v>novembro</c:v>
                </c:pt>
                <c:pt idx="10">
                  <c:v>outubro</c:v>
                </c:pt>
                <c:pt idx="11">
                  <c:v>setembro</c:v>
                </c:pt>
              </c:strCache>
            </c:strRef>
          </c:cat>
          <c:val>
            <c:numRef>
              <c:f>Analises!$C$91:$C$103</c:f>
              <c:numCache>
                <c:formatCode>General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19</c:v>
                </c:pt>
                <c:pt idx="5">
                  <c:v>19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18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6-4932-B907-AD347E4F3B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06827455"/>
        <c:axId val="1706827935"/>
      </c:barChart>
      <c:catAx>
        <c:axId val="170682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827935"/>
        <c:crosses val="autoZero"/>
        <c:auto val="1"/>
        <c:lblAlgn val="ctr"/>
        <c:lblOffset val="100"/>
        <c:noMultiLvlLbl val="0"/>
      </c:catAx>
      <c:valAx>
        <c:axId val="1706827935"/>
        <c:scaling>
          <c:orientation val="minMax"/>
          <c:max val="20"/>
        </c:scaling>
        <c:delete val="1"/>
        <c:axPos val="l"/>
        <c:numFmt formatCode="General" sourceLinked="1"/>
        <c:majorTickMark val="out"/>
        <c:minorTickMark val="none"/>
        <c:tickLblPos val="nextTo"/>
        <c:crossAx val="170682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  <a:latin typeface="Perpetua Titling MT" panose="02020502060505020804" pitchFamily="18" charset="0"/>
              </a:rPr>
              <a:t>% RANKING</a:t>
            </a:r>
            <a:r>
              <a:rPr lang="en-US" sz="1600" b="1" baseline="0">
                <a:solidFill>
                  <a:schemeClr val="bg1"/>
                </a:solidFill>
                <a:latin typeface="Perpetua Titling MT" panose="02020502060505020804" pitchFamily="18" charset="0"/>
              </a:rPr>
              <a:t> POR CONVERSÃO</a:t>
            </a:r>
            <a:endParaRPr lang="en-US" sz="1600" b="1">
              <a:solidFill>
                <a:schemeClr val="bg1"/>
              </a:solidFill>
              <a:latin typeface="Perpetua Titling MT" panose="020205020605050208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Analises!$L$4</c:f>
              <c:strCache>
                <c:ptCount val="1"/>
                <c:pt idx="0">
                  <c:v>Coluna1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Analises!$J$5:$J$12</c15:sqref>
                  </c15:fullRef>
                </c:ext>
              </c:extLst>
              <c:f>Analises!$J$5:$J$11</c:f>
              <c:strCache>
                <c:ptCount val="7"/>
                <c:pt idx="0">
                  <c:v>CLAUDIO</c:v>
                </c:pt>
                <c:pt idx="1">
                  <c:v>ANA JULIA</c:v>
                </c:pt>
                <c:pt idx="2">
                  <c:v>PEDRO</c:v>
                </c:pt>
                <c:pt idx="3">
                  <c:v>ALEXANDRE</c:v>
                </c:pt>
                <c:pt idx="4">
                  <c:v>DANIELE</c:v>
                </c:pt>
                <c:pt idx="5">
                  <c:v>AMANDA</c:v>
                </c:pt>
                <c:pt idx="6">
                  <c:v>MARIA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Analises!$L$5:$L$12</c15:sqref>
                  </c15:fullRef>
                </c:ext>
              </c:extLst>
              <c:f>Analises!$L$5:$L$11</c:f>
              <c:numCache>
                <c:formatCode>0%</c:formatCode>
                <c:ptCount val="7"/>
                <c:pt idx="0">
                  <c:v>4.5045045045045045E-3</c:v>
                </c:pt>
                <c:pt idx="1">
                  <c:v>4.0540540540540543E-2</c:v>
                </c:pt>
                <c:pt idx="2">
                  <c:v>5.8558558558558557E-2</c:v>
                </c:pt>
                <c:pt idx="3">
                  <c:v>7.2072072072072071E-2</c:v>
                </c:pt>
                <c:pt idx="4">
                  <c:v>0.10810810810810811</c:v>
                </c:pt>
                <c:pt idx="5">
                  <c:v>0.2747747747747748</c:v>
                </c:pt>
                <c:pt idx="6">
                  <c:v>0.44144144144144143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C-49A4-B523-24040E2FE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464415"/>
        <c:axId val="17444648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Analises!$K$4</c15:sqref>
                        </c15:formulaRef>
                      </c:ext>
                    </c:extLst>
                    <c:strCache>
                      <c:ptCount val="1"/>
                      <c:pt idx="0">
                        <c:v>Contagem de Nº CONTRATO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Analises!$J$5:$J$12</c15:sqref>
                        </c15:fullRef>
                        <c15:formulaRef>
                          <c15:sqref>Analises!$J$5:$J$11</c15:sqref>
                        </c15:formulaRef>
                      </c:ext>
                    </c:extLst>
                    <c:strCache>
                      <c:ptCount val="7"/>
                      <c:pt idx="0">
                        <c:v>CLAUDIO</c:v>
                      </c:pt>
                      <c:pt idx="1">
                        <c:v>ANA JULIA</c:v>
                      </c:pt>
                      <c:pt idx="2">
                        <c:v>PEDRO</c:v>
                      </c:pt>
                      <c:pt idx="3">
                        <c:v>ALEXANDRE</c:v>
                      </c:pt>
                      <c:pt idx="4">
                        <c:v>DANIELE</c:v>
                      </c:pt>
                      <c:pt idx="5">
                        <c:v>AMANDA</c:v>
                      </c:pt>
                      <c:pt idx="6">
                        <c:v>MARIA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Analises!$K$5:$K$12</c15:sqref>
                        </c15:fullRef>
                        <c15:formulaRef>
                          <c15:sqref>Analises!$K$5:$K$11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9</c:v>
                      </c:pt>
                      <c:pt idx="2">
                        <c:v>13</c:v>
                      </c:pt>
                      <c:pt idx="3">
                        <c:v>16</c:v>
                      </c:pt>
                      <c:pt idx="4">
                        <c:v>24</c:v>
                      </c:pt>
                      <c:pt idx="5">
                        <c:v>61</c:v>
                      </c:pt>
                      <c:pt idx="6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0FC-49A4-B523-24040E2FE696}"/>
                  </c:ext>
                </c:extLst>
              </c15:ser>
            </c15:filteredBarSeries>
          </c:ext>
        </c:extLst>
      </c:barChart>
      <c:catAx>
        <c:axId val="174446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464895"/>
        <c:crosses val="autoZero"/>
        <c:auto val="1"/>
        <c:lblAlgn val="ctr"/>
        <c:lblOffset val="100"/>
        <c:noMultiLvlLbl val="0"/>
      </c:catAx>
      <c:valAx>
        <c:axId val="1744464895"/>
        <c:scaling>
          <c:orientation val="minMax"/>
          <c:max val="0.5"/>
          <c:min val="0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46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[Crédito Consignado.xlsx]Analises!Tabela dinâmica6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>
                <a:solidFill>
                  <a:schemeClr val="bg1"/>
                </a:solidFill>
                <a:latin typeface="Perpetua Titling MT" panose="02020502060505020804" pitchFamily="18" charset="0"/>
              </a:rPr>
              <a:t>VALOR BRUTO POR MÊS</a:t>
            </a:r>
          </a:p>
        </c:rich>
      </c:tx>
      <c:layout>
        <c:manualLayout>
          <c:xMode val="edge"/>
          <c:yMode val="edge"/>
          <c:x val="0.33275551614030152"/>
          <c:y val="1.444102980840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flat" cmpd="sng" algn="ctr">
            <a:solidFill>
              <a:schemeClr val="lt1"/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Analises!$H$66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flat" cmpd="sng" algn="ctr">
              <a:solidFill>
                <a:schemeClr val="lt1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strRef>
              <c:f>Analises!$G$67:$G$79</c:f>
              <c:strCache>
                <c:ptCount val="12"/>
                <c:pt idx="0">
                  <c:v>abril</c:v>
                </c:pt>
                <c:pt idx="1">
                  <c:v>agosto</c:v>
                </c:pt>
                <c:pt idx="2">
                  <c:v>dezembro</c:v>
                </c:pt>
                <c:pt idx="3">
                  <c:v>fevereiro</c:v>
                </c:pt>
                <c:pt idx="4">
                  <c:v>janeiro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março</c:v>
                </c:pt>
                <c:pt idx="9">
                  <c:v>novembro</c:v>
                </c:pt>
                <c:pt idx="10">
                  <c:v>outubro</c:v>
                </c:pt>
                <c:pt idx="11">
                  <c:v>setembro</c:v>
                </c:pt>
              </c:strCache>
            </c:strRef>
          </c:cat>
          <c:val>
            <c:numRef>
              <c:f>Analises!$H$67:$H$79</c:f>
              <c:numCache>
                <c:formatCode>_("R$"* #,##0.00_);_("R$"* \(#,##0.00\);_("R$"* "-"??_);_(@_)</c:formatCode>
                <c:ptCount val="12"/>
                <c:pt idx="0">
                  <c:v>165522.51</c:v>
                </c:pt>
                <c:pt idx="1">
                  <c:v>97435.21</c:v>
                </c:pt>
                <c:pt idx="2">
                  <c:v>186254.76</c:v>
                </c:pt>
                <c:pt idx="3">
                  <c:v>147661.59</c:v>
                </c:pt>
                <c:pt idx="4">
                  <c:v>169027.02</c:v>
                </c:pt>
                <c:pt idx="5">
                  <c:v>76209.210000000006</c:v>
                </c:pt>
                <c:pt idx="6">
                  <c:v>108456.02</c:v>
                </c:pt>
                <c:pt idx="7">
                  <c:v>129219.51</c:v>
                </c:pt>
                <c:pt idx="8">
                  <c:v>85774.23</c:v>
                </c:pt>
                <c:pt idx="9">
                  <c:v>64949.89</c:v>
                </c:pt>
                <c:pt idx="10">
                  <c:v>121571.09</c:v>
                </c:pt>
                <c:pt idx="11">
                  <c:v>54011.39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E-4134-8EF3-0B2C7787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388095"/>
        <c:axId val="1744407295"/>
      </c:lineChart>
      <c:catAx>
        <c:axId val="17443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407295"/>
        <c:crosses val="autoZero"/>
        <c:auto val="1"/>
        <c:lblAlgn val="ctr"/>
        <c:lblOffset val="100"/>
        <c:noMultiLvlLbl val="0"/>
      </c:catAx>
      <c:valAx>
        <c:axId val="1744407295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38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[Crédito Consignado.xlsx]Analises!Tabela dinâmica7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/>
                </a:solidFill>
                <a:latin typeface="Perpetua Titling MT" panose="02020502060505020804" pitchFamily="18" charset="0"/>
              </a:rPr>
              <a:t>VALOR BRUTO</a:t>
            </a:r>
            <a:r>
              <a:rPr lang="pt-BR" sz="1600" b="1" baseline="0">
                <a:solidFill>
                  <a:schemeClr val="bg1"/>
                </a:solidFill>
                <a:latin typeface="Perpetua Titling MT" panose="02020502060505020804" pitchFamily="18" charset="0"/>
              </a:rPr>
              <a:t> POR BANCO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404219755405901E-2"/>
          <c:y val="0.16328140975264638"/>
          <c:w val="0.96479336895579071"/>
          <c:h val="0.440770709999095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Analises!$F$90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Analises!$E$91:$E$99</c:f>
              <c:strCache>
                <c:ptCount val="8"/>
                <c:pt idx="0">
                  <c:v>BMG</c:v>
                </c:pt>
                <c:pt idx="1">
                  <c:v>BRADESCO</c:v>
                </c:pt>
                <c:pt idx="2">
                  <c:v>C6 BANK</c:v>
                </c:pt>
                <c:pt idx="3">
                  <c:v>DAYCOVAL</c:v>
                </c:pt>
                <c:pt idx="4">
                  <c:v>ITAU BMG</c:v>
                </c:pt>
                <c:pt idx="5">
                  <c:v>OLÉ</c:v>
                </c:pt>
                <c:pt idx="6">
                  <c:v>PAN</c:v>
                </c:pt>
                <c:pt idx="7">
                  <c:v>SAFRA</c:v>
                </c:pt>
              </c:strCache>
            </c:strRef>
          </c:cat>
          <c:val>
            <c:numRef>
              <c:f>Analises!$F$91:$F$99</c:f>
              <c:numCache>
                <c:formatCode>_("R$"* #,##0.00_);_("R$"* \(#,##0.00\);_("R$"* "-"??_);_(@_)</c:formatCode>
                <c:ptCount val="8"/>
                <c:pt idx="0">
                  <c:v>3665.45</c:v>
                </c:pt>
                <c:pt idx="1">
                  <c:v>268242.96000000002</c:v>
                </c:pt>
                <c:pt idx="2">
                  <c:v>6647.47</c:v>
                </c:pt>
                <c:pt idx="3">
                  <c:v>23893.37</c:v>
                </c:pt>
                <c:pt idx="4">
                  <c:v>3278.93</c:v>
                </c:pt>
                <c:pt idx="5">
                  <c:v>2868.09</c:v>
                </c:pt>
                <c:pt idx="6">
                  <c:v>615576.4</c:v>
                </c:pt>
                <c:pt idx="7">
                  <c:v>481919.76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4C0-4E96-A7AB-446886DBB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826975"/>
        <c:axId val="1706832735"/>
      </c:barChart>
      <c:catAx>
        <c:axId val="1706826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832735"/>
        <c:crosses val="autoZero"/>
        <c:auto val="1"/>
        <c:lblAlgn val="ctr"/>
        <c:lblOffset val="100"/>
        <c:noMultiLvlLbl val="0"/>
      </c:catAx>
      <c:valAx>
        <c:axId val="1706832735"/>
        <c:scaling>
          <c:logBase val="10"/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7068269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jp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30</xdr:row>
      <xdr:rowOff>14287</xdr:rowOff>
    </xdr:from>
    <xdr:to>
      <xdr:col>4</xdr:col>
      <xdr:colOff>952500</xdr:colOff>
      <xdr:row>44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204752-42EB-4C28-97F4-6845B1963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133350</xdr:colOff>
      <xdr:row>30</xdr:row>
      <xdr:rowOff>33337</xdr:rowOff>
    </xdr:from>
    <xdr:to>
      <xdr:col>9</xdr:col>
      <xdr:colOff>152400</xdr:colOff>
      <xdr:row>44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778F32-28D9-B551-665C-DF43D1352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514350</xdr:colOff>
      <xdr:row>46</xdr:row>
      <xdr:rowOff>80962</xdr:rowOff>
    </xdr:from>
    <xdr:to>
      <xdr:col>8</xdr:col>
      <xdr:colOff>1552575</xdr:colOff>
      <xdr:row>60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96FFE5-C8B8-3AF9-E3A2-8F3373202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976312</xdr:colOff>
      <xdr:row>0</xdr:row>
      <xdr:rowOff>128587</xdr:rowOff>
    </xdr:from>
    <xdr:to>
      <xdr:col>12</xdr:col>
      <xdr:colOff>376237</xdr:colOff>
      <xdr:row>14</xdr:row>
      <xdr:rowOff>14287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121881-1659-A918-4475-AA58E953F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571500</xdr:colOff>
      <xdr:row>65</xdr:row>
      <xdr:rowOff>61912</xdr:rowOff>
    </xdr:from>
    <xdr:to>
      <xdr:col>8</xdr:col>
      <xdr:colOff>1390650</xdr:colOff>
      <xdr:row>79</xdr:row>
      <xdr:rowOff>138112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6452593-77EB-FAED-3BA4-9ABD84E6E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966787</xdr:colOff>
      <xdr:row>88</xdr:row>
      <xdr:rowOff>33336</xdr:rowOff>
    </xdr:from>
    <xdr:to>
      <xdr:col>7</xdr:col>
      <xdr:colOff>581026</xdr:colOff>
      <xdr:row>101</xdr:row>
      <xdr:rowOff>190499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258CBBD-D922-230C-F781-CDBEFF2E2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78441</xdr:colOff>
      <xdr:row>0</xdr:row>
      <xdr:rowOff>186469</xdr:rowOff>
    </xdr:from>
    <xdr:to>
      <xdr:col>27</xdr:col>
      <xdr:colOff>134471</xdr:colOff>
      <xdr:row>40</xdr:row>
      <xdr:rowOff>134267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D7B5B3-835C-A73B-BD7F-86ECA679C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559" y="186469"/>
          <a:ext cx="15789088" cy="7567798"/>
        </a:xfrm>
        <a:prstGeom prst="rect">
          <a:avLst/>
        </a:prstGeom>
      </xdr:spPr>
    </xdr:pic>
    <xdr:clientData/>
  </xdr:twoCellAnchor>
  <xdr:twoCellAnchor editAs="absolute">
    <xdr:from>
      <xdr:col>4</xdr:col>
      <xdr:colOff>89647</xdr:colOff>
      <xdr:row>2</xdr:row>
      <xdr:rowOff>108697</xdr:rowOff>
    </xdr:from>
    <xdr:to>
      <xdr:col>8</xdr:col>
      <xdr:colOff>257735</xdr:colOff>
      <xdr:row>8</xdr:row>
      <xdr:rowOff>153521</xdr:rowOff>
    </xdr:to>
    <xdr:sp macro="" textlink="Analises!C4">
      <xdr:nvSpPr>
        <xdr:cNvPr id="4" name="Retângulo: Cantos Arredondados 3">
          <a:extLst>
            <a:ext uri="{FF2B5EF4-FFF2-40B4-BE49-F238E27FC236}">
              <a16:creationId xmlns:a16="http://schemas.microsoft.com/office/drawing/2014/main" id="{4E60A588-44FA-C906-DF54-09AAF635EDAB}"/>
            </a:ext>
          </a:extLst>
        </xdr:cNvPr>
        <xdr:cNvSpPr>
          <a:spLocks noChangeAspect="1"/>
        </xdr:cNvSpPr>
      </xdr:nvSpPr>
      <xdr:spPr>
        <a:xfrm>
          <a:off x="2510118" y="489697"/>
          <a:ext cx="2588558" cy="1187824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8F6BDCDB-AA46-4FB8-8D90-389AFE56522A}" type="TxLink">
            <a:rPr lang="en-US" sz="3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222</a:t>
          </a:fld>
          <a:endParaRPr lang="pt-BR" sz="32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424143</xdr:colOff>
      <xdr:row>2</xdr:row>
      <xdr:rowOff>108697</xdr:rowOff>
    </xdr:from>
    <xdr:to>
      <xdr:col>12</xdr:col>
      <xdr:colOff>592230</xdr:colOff>
      <xdr:row>8</xdr:row>
      <xdr:rowOff>153521</xdr:rowOff>
    </xdr:to>
    <xdr:sp macro="" textlink="Analises!C5">
      <xdr:nvSpPr>
        <xdr:cNvPr id="5" name="Retângulo: Cantos Arredondados 4">
          <a:extLst>
            <a:ext uri="{FF2B5EF4-FFF2-40B4-BE49-F238E27FC236}">
              <a16:creationId xmlns:a16="http://schemas.microsoft.com/office/drawing/2014/main" id="{CA526090-1026-4CFD-B452-42F0C4A5D3CE}"/>
            </a:ext>
          </a:extLst>
        </xdr:cNvPr>
        <xdr:cNvSpPr>
          <a:spLocks noChangeAspect="1"/>
        </xdr:cNvSpPr>
      </xdr:nvSpPr>
      <xdr:spPr>
        <a:xfrm>
          <a:off x="5265084" y="489697"/>
          <a:ext cx="2588558" cy="1187824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CFF01B5F-2B7D-4E8D-86D5-7BE6DAEE0853}" type="TxLink">
            <a:rPr lang="en-US" sz="3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11</a:t>
          </a:fld>
          <a:endParaRPr lang="pt-BR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13</xdr:col>
      <xdr:colOff>153521</xdr:colOff>
      <xdr:row>2</xdr:row>
      <xdr:rowOff>108697</xdr:rowOff>
    </xdr:from>
    <xdr:to>
      <xdr:col>17</xdr:col>
      <xdr:colOff>321608</xdr:colOff>
      <xdr:row>8</xdr:row>
      <xdr:rowOff>153521</xdr:rowOff>
    </xdr:to>
    <xdr:sp macro="" textlink="Analises!C10">
      <xdr:nvSpPr>
        <xdr:cNvPr id="6" name="Retângulo: Cantos Arredondados 5">
          <a:extLst>
            <a:ext uri="{FF2B5EF4-FFF2-40B4-BE49-F238E27FC236}">
              <a16:creationId xmlns:a16="http://schemas.microsoft.com/office/drawing/2014/main" id="{B1DA9AEB-173C-4C20-B097-21FD4C98B76A}"/>
            </a:ext>
          </a:extLst>
        </xdr:cNvPr>
        <xdr:cNvSpPr>
          <a:spLocks noChangeAspect="1"/>
        </xdr:cNvSpPr>
      </xdr:nvSpPr>
      <xdr:spPr>
        <a:xfrm>
          <a:off x="8020050" y="489697"/>
          <a:ext cx="2588558" cy="1187824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BE74800B-DA32-4C3F-BD73-6987F43D9D06}" type="TxLink">
            <a:rPr lang="en-US" sz="3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4,9%</a:t>
          </a:fld>
          <a:endParaRPr lang="pt-BR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17</xdr:col>
      <xdr:colOff>488016</xdr:colOff>
      <xdr:row>2</xdr:row>
      <xdr:rowOff>108697</xdr:rowOff>
    </xdr:from>
    <xdr:to>
      <xdr:col>22</xdr:col>
      <xdr:colOff>50986</xdr:colOff>
      <xdr:row>8</xdr:row>
      <xdr:rowOff>153521</xdr:rowOff>
    </xdr:to>
    <xdr:sp macro="" textlink="Analises!C6">
      <xdr:nvSpPr>
        <xdr:cNvPr id="7" name="Retângulo: Cantos Arredondados 6">
          <a:extLst>
            <a:ext uri="{FF2B5EF4-FFF2-40B4-BE49-F238E27FC236}">
              <a16:creationId xmlns:a16="http://schemas.microsoft.com/office/drawing/2014/main" id="{E7A63FF8-0D31-45D8-B713-DC8C27D0EAE6}"/>
            </a:ext>
          </a:extLst>
        </xdr:cNvPr>
        <xdr:cNvSpPr>
          <a:spLocks noChangeAspect="1"/>
        </xdr:cNvSpPr>
      </xdr:nvSpPr>
      <xdr:spPr>
        <a:xfrm>
          <a:off x="10775016" y="489697"/>
          <a:ext cx="2588558" cy="1187824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33D39E5B-5367-43F5-94C3-AE04D08A9D7A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1.406.092,43 </a:t>
          </a:fld>
          <a:endParaRPr lang="pt-BR" sz="28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22</xdr:col>
      <xdr:colOff>217393</xdr:colOff>
      <xdr:row>2</xdr:row>
      <xdr:rowOff>108697</xdr:rowOff>
    </xdr:from>
    <xdr:to>
      <xdr:col>26</xdr:col>
      <xdr:colOff>385480</xdr:colOff>
      <xdr:row>8</xdr:row>
      <xdr:rowOff>153521</xdr:rowOff>
    </xdr:to>
    <xdr:sp macro="" textlink="Analises!C7">
      <xdr:nvSpPr>
        <xdr:cNvPr id="8" name="Retângulo: Cantos Arredondados 7">
          <a:extLst>
            <a:ext uri="{FF2B5EF4-FFF2-40B4-BE49-F238E27FC236}">
              <a16:creationId xmlns:a16="http://schemas.microsoft.com/office/drawing/2014/main" id="{920B5CE9-F26A-4341-9A4F-452F5F505A38}"/>
            </a:ext>
          </a:extLst>
        </xdr:cNvPr>
        <xdr:cNvSpPr>
          <a:spLocks noChangeAspect="1"/>
        </xdr:cNvSpPr>
      </xdr:nvSpPr>
      <xdr:spPr>
        <a:xfrm>
          <a:off x="13529981" y="489697"/>
          <a:ext cx="2588558" cy="1187824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0DF662D3-BA98-405A-B861-FC047790FA4D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6.333,75 </a:t>
          </a:fld>
          <a:endParaRPr lang="pt-BR" sz="28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347381</xdr:colOff>
      <xdr:row>2</xdr:row>
      <xdr:rowOff>116541</xdr:rowOff>
    </xdr:from>
    <xdr:to>
      <xdr:col>7</xdr:col>
      <xdr:colOff>593911</xdr:colOff>
      <xdr:row>6</xdr:row>
      <xdr:rowOff>123265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4268D98-8208-A88D-90E1-5DBC1230A51E}"/>
            </a:ext>
          </a:extLst>
        </xdr:cNvPr>
        <xdr:cNvSpPr txBox="1"/>
      </xdr:nvSpPr>
      <xdr:spPr>
        <a:xfrm>
          <a:off x="2767852" y="497541"/>
          <a:ext cx="2061883" cy="768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Perpetua Titling MT" panose="02020502060505020804" pitchFamily="18" charset="0"/>
            </a:rPr>
            <a:t>QTD CONTRATOS</a:t>
          </a:r>
        </a:p>
      </xdr:txBody>
    </xdr:sp>
    <xdr:clientData/>
  </xdr:twoCellAnchor>
  <xdr:twoCellAnchor>
    <xdr:from>
      <xdr:col>8</xdr:col>
      <xdr:colOff>403412</xdr:colOff>
      <xdr:row>2</xdr:row>
      <xdr:rowOff>116541</xdr:rowOff>
    </xdr:from>
    <xdr:to>
      <xdr:col>12</xdr:col>
      <xdr:colOff>549088</xdr:colOff>
      <xdr:row>6</xdr:row>
      <xdr:rowOff>123265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DBB78615-0EDF-4863-BB91-E834619CA8C5}"/>
            </a:ext>
          </a:extLst>
        </xdr:cNvPr>
        <xdr:cNvSpPr txBox="1"/>
      </xdr:nvSpPr>
      <xdr:spPr>
        <a:xfrm>
          <a:off x="5244353" y="497541"/>
          <a:ext cx="2566147" cy="768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Perpetua Titling MT" panose="02020502060505020804" pitchFamily="18" charset="0"/>
            </a:rPr>
            <a:t>QTD CONTRATOS AVERBADOS</a:t>
          </a:r>
        </a:p>
      </xdr:txBody>
    </xdr:sp>
    <xdr:clientData/>
  </xdr:twoCellAnchor>
  <xdr:twoCellAnchor>
    <xdr:from>
      <xdr:col>13</xdr:col>
      <xdr:colOff>405652</xdr:colOff>
      <xdr:row>2</xdr:row>
      <xdr:rowOff>116541</xdr:rowOff>
    </xdr:from>
    <xdr:to>
      <xdr:col>17</xdr:col>
      <xdr:colOff>47064</xdr:colOff>
      <xdr:row>6</xdr:row>
      <xdr:rowOff>123265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55F67B9C-DC73-4059-B665-17D4D6A64023}"/>
            </a:ext>
          </a:extLst>
        </xdr:cNvPr>
        <xdr:cNvSpPr txBox="1"/>
      </xdr:nvSpPr>
      <xdr:spPr>
        <a:xfrm>
          <a:off x="8272181" y="497541"/>
          <a:ext cx="2061883" cy="768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Perpetua Titling MT" panose="02020502060505020804" pitchFamily="18" charset="0"/>
            </a:rPr>
            <a:t>% CONVERSÃO</a:t>
          </a:r>
        </a:p>
      </xdr:txBody>
    </xdr:sp>
    <xdr:clientData/>
  </xdr:twoCellAnchor>
  <xdr:twoCellAnchor>
    <xdr:from>
      <xdr:col>18</xdr:col>
      <xdr:colOff>132227</xdr:colOff>
      <xdr:row>2</xdr:row>
      <xdr:rowOff>116541</xdr:rowOff>
    </xdr:from>
    <xdr:to>
      <xdr:col>21</xdr:col>
      <xdr:colOff>378757</xdr:colOff>
      <xdr:row>6</xdr:row>
      <xdr:rowOff>123265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A0FBB35B-FF8C-4FF4-9ECD-3EAB4BA9436F}"/>
            </a:ext>
          </a:extLst>
        </xdr:cNvPr>
        <xdr:cNvSpPr txBox="1"/>
      </xdr:nvSpPr>
      <xdr:spPr>
        <a:xfrm>
          <a:off x="11024345" y="497541"/>
          <a:ext cx="2061883" cy="768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Perpetua Titling MT" panose="02020502060505020804" pitchFamily="18" charset="0"/>
            </a:rPr>
            <a:t>VALOR BRUTO</a:t>
          </a:r>
        </a:p>
      </xdr:txBody>
    </xdr:sp>
    <xdr:clientData/>
  </xdr:twoCellAnchor>
  <xdr:twoCellAnchor>
    <xdr:from>
      <xdr:col>22</xdr:col>
      <xdr:colOff>463922</xdr:colOff>
      <xdr:row>2</xdr:row>
      <xdr:rowOff>116541</xdr:rowOff>
    </xdr:from>
    <xdr:to>
      <xdr:col>26</xdr:col>
      <xdr:colOff>105334</xdr:colOff>
      <xdr:row>6</xdr:row>
      <xdr:rowOff>123265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B189182F-E3F0-4729-BA5A-AA278001F2E9}"/>
            </a:ext>
          </a:extLst>
        </xdr:cNvPr>
        <xdr:cNvSpPr txBox="1"/>
      </xdr:nvSpPr>
      <xdr:spPr>
        <a:xfrm>
          <a:off x="13776510" y="497541"/>
          <a:ext cx="2061883" cy="768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Perpetua Titling MT" panose="02020502060505020804" pitchFamily="18" charset="0"/>
            </a:rPr>
            <a:t>TICKET MÉDIO</a:t>
          </a:r>
        </a:p>
      </xdr:txBody>
    </xdr:sp>
    <xdr:clientData/>
  </xdr:twoCellAnchor>
  <xdr:twoCellAnchor editAs="absolute">
    <xdr:from>
      <xdr:col>4</xdr:col>
      <xdr:colOff>6724</xdr:colOff>
      <xdr:row>9</xdr:row>
      <xdr:rowOff>137832</xdr:rowOff>
    </xdr:from>
    <xdr:to>
      <xdr:col>13</xdr:col>
      <xdr:colOff>22412</xdr:colOff>
      <xdr:row>24</xdr:row>
      <xdr:rowOff>44823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FFDE95D9-FFAD-4F7B-A342-D7077F761DCF}"/>
            </a:ext>
          </a:extLst>
        </xdr:cNvPr>
        <xdr:cNvSpPr>
          <a:spLocks noChangeAspect="1"/>
        </xdr:cNvSpPr>
      </xdr:nvSpPr>
      <xdr:spPr>
        <a:xfrm>
          <a:off x="2427195" y="1852332"/>
          <a:ext cx="5461746" cy="2764491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112058</xdr:colOff>
      <xdr:row>10</xdr:row>
      <xdr:rowOff>11206</xdr:rowOff>
    </xdr:from>
    <xdr:to>
      <xdr:col>12</xdr:col>
      <xdr:colOff>515471</xdr:colOff>
      <xdr:row>23</xdr:row>
      <xdr:rowOff>156882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FFB99A9-E5DD-4506-B363-A410267B1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24653</xdr:colOff>
      <xdr:row>25</xdr:row>
      <xdr:rowOff>10084</xdr:rowOff>
    </xdr:from>
    <xdr:to>
      <xdr:col>13</xdr:col>
      <xdr:colOff>40341</xdr:colOff>
      <xdr:row>39</xdr:row>
      <xdr:rowOff>107575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CB8A3C9A-7ECF-4591-A796-6AC9380C3B55}"/>
            </a:ext>
          </a:extLst>
        </xdr:cNvPr>
        <xdr:cNvSpPr>
          <a:spLocks noChangeAspect="1"/>
        </xdr:cNvSpPr>
      </xdr:nvSpPr>
      <xdr:spPr>
        <a:xfrm>
          <a:off x="2445124" y="4772584"/>
          <a:ext cx="5461746" cy="2764491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56030</xdr:colOff>
      <xdr:row>24</xdr:row>
      <xdr:rowOff>164056</xdr:rowOff>
    </xdr:from>
    <xdr:to>
      <xdr:col>12</xdr:col>
      <xdr:colOff>392206</xdr:colOff>
      <xdr:row>39</xdr:row>
      <xdr:rowOff>156882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4253A936-C5DB-4962-AFE9-498C9CBF8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13</xdr:col>
      <xdr:colOff>316007</xdr:colOff>
      <xdr:row>9</xdr:row>
      <xdr:rowOff>178173</xdr:rowOff>
    </xdr:from>
    <xdr:to>
      <xdr:col>26</xdr:col>
      <xdr:colOff>437029</xdr:colOff>
      <xdr:row>24</xdr:row>
      <xdr:rowOff>85164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DFF871BE-0EDA-444C-BA1B-593CB0B1758D}"/>
            </a:ext>
          </a:extLst>
        </xdr:cNvPr>
        <xdr:cNvSpPr>
          <a:spLocks noChangeAspect="1"/>
        </xdr:cNvSpPr>
      </xdr:nvSpPr>
      <xdr:spPr>
        <a:xfrm>
          <a:off x="8182536" y="1892673"/>
          <a:ext cx="7987552" cy="2764491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425824</xdr:colOff>
      <xdr:row>10</xdr:row>
      <xdr:rowOff>56029</xdr:rowOff>
    </xdr:from>
    <xdr:to>
      <xdr:col>26</xdr:col>
      <xdr:colOff>313765</xdr:colOff>
      <xdr:row>24</xdr:row>
      <xdr:rowOff>27345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C5F9A7D-A6E2-4256-AC73-266CE8542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13</xdr:col>
      <xdr:colOff>289113</xdr:colOff>
      <xdr:row>25</xdr:row>
      <xdr:rowOff>28014</xdr:rowOff>
    </xdr:from>
    <xdr:to>
      <xdr:col>26</xdr:col>
      <xdr:colOff>410135</xdr:colOff>
      <xdr:row>39</xdr:row>
      <xdr:rowOff>125505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D61A3909-B3FD-4BD8-B7ED-C798B928170C}"/>
            </a:ext>
          </a:extLst>
        </xdr:cNvPr>
        <xdr:cNvSpPr>
          <a:spLocks noChangeAspect="1"/>
        </xdr:cNvSpPr>
      </xdr:nvSpPr>
      <xdr:spPr>
        <a:xfrm>
          <a:off x="8155642" y="4790514"/>
          <a:ext cx="7987552" cy="2764491"/>
        </a:xfrm>
        <a:prstGeom prst="roundRect">
          <a:avLst/>
        </a:prstGeom>
        <a:solidFill>
          <a:srgbClr val="2A29A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32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257736</xdr:colOff>
      <xdr:row>25</xdr:row>
      <xdr:rowOff>50425</xdr:rowOff>
    </xdr:from>
    <xdr:to>
      <xdr:col>26</xdr:col>
      <xdr:colOff>425823</xdr:colOff>
      <xdr:row>42</xdr:row>
      <xdr:rowOff>156882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CA63E211-5B15-477C-BBD5-DDCB2943F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291353</xdr:colOff>
      <xdr:row>6</xdr:row>
      <xdr:rowOff>156881</xdr:rowOff>
    </xdr:from>
    <xdr:to>
      <xdr:col>3</xdr:col>
      <xdr:colOff>22412</xdr:colOff>
      <xdr:row>39</xdr:row>
      <xdr:rowOff>78440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8384368D-D22A-5534-F953-CF72ACCAB7AF}"/>
            </a:ext>
          </a:extLst>
        </xdr:cNvPr>
        <xdr:cNvSpPr txBox="1"/>
      </xdr:nvSpPr>
      <xdr:spPr>
        <a:xfrm>
          <a:off x="896471" y="1299881"/>
          <a:ext cx="941294" cy="6208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pt-BR" sz="2000" b="1" i="0" u="none">
              <a:solidFill>
                <a:schemeClr val="bg1"/>
              </a:solidFill>
              <a:effectLst/>
              <a:latin typeface="Perpetua Titling MT" panose="02020502060505020804" pitchFamily="18" charset="0"/>
              <a:ea typeface="+mn-ea"/>
              <a:cs typeface="+mn-cs"/>
            </a:rPr>
            <a:t> </a:t>
          </a:r>
          <a:r>
            <a:rPr lang="pt-BR" sz="7200" b="1" i="0" u="none">
              <a:solidFill>
                <a:schemeClr val="bg1"/>
              </a:solidFill>
              <a:latin typeface="Perpetua Titling MT" panose="02020502060505020804" pitchFamily="18" charset="0"/>
            </a:rPr>
            <a:t>Lumicard</a:t>
          </a:r>
          <a:endParaRPr lang="pt-BR" sz="2000" b="1" i="0" u="none">
            <a:solidFill>
              <a:schemeClr val="bg1"/>
            </a:solidFill>
            <a:latin typeface="Perpetua Titling MT" panose="02020502060505020804" pitchFamily="18" charset="0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0.995539814816" backgroundQuery="1" createdVersion="8" refreshedVersion="8" minRefreshableVersion="3" recordCount="0" supportSubquery="1" supportAdvancedDrill="1" xr:uid="{232A1F1F-A164-4BFD-A6AD-018C2AF4BC26}">
  <cacheSource type="external" connectionId="3"/>
  <cacheFields count="2">
    <cacheField name="[dCalendario].[Nome do Mês].[Nome do Mês]" caption="Nome do Mês" numFmtId="0" hierarchy="4" level="1">
      <sharedItems count="12">
        <s v="abril"/>
        <s v="agosto"/>
        <s v="dezembro"/>
        <s v="fevereiro"/>
        <s v="janeiro"/>
        <s v="julho"/>
        <s v="junho"/>
        <s v="maio"/>
        <s v="março"/>
        <s v="novembro"/>
        <s v="outubro"/>
        <s v="setembro"/>
      </sharedItems>
    </cacheField>
    <cacheField name="[Measures].[Soma de VLR BRUTO]" caption="Soma de VLR BRUTO" numFmtId="0" hierarchy="44" level="32767"/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2" memberValueDatatype="130" unbalanced="0">
      <fieldsUsage count="2">
        <fieldUsage x="-1"/>
        <fieldUsage x="0"/>
      </fieldsUsage>
    </cacheHierarchy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0" memberValueDatatype="130" unbalanced="0"/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0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0" memberValueDatatype="130" unbalanced="0"/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0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0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0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0.995539120369" backgroundQuery="1" createdVersion="8" refreshedVersion="8" minRefreshableVersion="3" recordCount="0" supportSubquery="1" supportAdvancedDrill="1" xr:uid="{39EF84C9-0D86-4AEC-BF25-D342E2090160}">
  <cacheSource type="external" connectionId="3"/>
  <cacheFields count="4">
    <cacheField name="[fContratos].[OPERADOR].[OPERADOR]" caption="OPERADOR" numFmtId="0" hierarchy="7" level="1">
      <sharedItems count="7">
        <s v="ALEXANDRE"/>
        <s v="AMANDA"/>
        <s v="ANA JULIA"/>
        <s v="CLAUDIO"/>
        <s v="DANIELE"/>
        <s v="MARIA"/>
        <s v="PEDRO"/>
      </sharedItems>
    </cacheField>
    <cacheField name="[Measures].[Contagem de Nº CONTRATO]" caption="Contagem de Nº CONTRATO" numFmtId="0" hierarchy="43" level="32767"/>
    <cacheField name="[fContratos].[Faixa Prazo].[Faixa Prazo]" caption="Faixa Prazo" numFmtId="0" hierarchy="19" level="1">
      <sharedItems count="4">
        <s v="&lt;24"/>
        <s v="25-60"/>
        <s v="61-84"/>
        <s v="&gt;84"/>
      </sharedItems>
    </cacheField>
    <cacheField name="[Measures].[Soma de VLR BRUTO]" caption="Soma de VLR BRUTO" numFmtId="0" hierarchy="44" level="32767"/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2" memberValueDatatype="130" unbalanced="0">
      <fieldsUsage count="2">
        <fieldUsage x="-1"/>
        <fieldUsage x="0"/>
      </fieldsUsage>
    </cacheHierarchy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0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0" memberValueDatatype="130" unbalanced="0"/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0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2" memberValueDatatype="130" unbalanced="0">
      <fieldsUsage count="2">
        <fieldUsage x="-1"/>
        <fieldUsage x="2"/>
      </fieldsUsage>
    </cacheHierarchy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0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0.995536111113" backgroundQuery="1" createdVersion="8" refreshedVersion="8" minRefreshableVersion="3" recordCount="0" supportSubquery="1" supportAdvancedDrill="1" xr:uid="{CD2D2148-D0EB-4BD5-9CD1-A6B186B3C1B5}">
  <cacheSource type="external" connectionId="3"/>
  <cacheFields count="2">
    <cacheField name="[dCalendario].[Nome do Mês].[Nome do Mês]" caption="Nome do Mês" numFmtId="0" hierarchy="4" level="1">
      <sharedItems count="12">
        <s v="abril"/>
        <s v="agosto"/>
        <s v="dezembro"/>
        <s v="fevereiro"/>
        <s v="janeiro"/>
        <s v="julho"/>
        <s v="junho"/>
        <s v="maio"/>
        <s v="março"/>
        <s v="novembro"/>
        <s v="outubro"/>
        <s v="setembro"/>
      </sharedItems>
    </cacheField>
    <cacheField name="[Measures].[Contagem de Nº CONTRATO]" caption="Contagem de Nº CONTRATO" numFmtId="0" hierarchy="43" level="32767"/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2" memberValueDatatype="130" unbalanced="0">
      <fieldsUsage count="2">
        <fieldUsage x="-1"/>
        <fieldUsage x="0"/>
      </fieldsUsage>
    </cacheHierarchy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0" memberValueDatatype="130" unbalanced="0"/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0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0" memberValueDatatype="130" unbalanced="0"/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0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0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0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0.995538194446" backgroundQuery="1" createdVersion="8" refreshedVersion="8" minRefreshableVersion="3" recordCount="0" supportSubquery="1" supportAdvancedDrill="1" xr:uid="{B9BDD7A6-98A1-4538-8BA0-6C32A5255A5F}">
  <cacheSource type="external" connectionId="3"/>
  <cacheFields count="2">
    <cacheField name="[fContratos].[STATUS].[STATUS]" caption="STATUS" numFmtId="0" hierarchy="15" level="1">
      <sharedItems count="9">
        <s v="AG. ASS. DIG"/>
        <s v="AGUARD. CIP"/>
        <s v="AVERBADO"/>
        <s v="CANCELADO"/>
        <s v="DIGITAR"/>
        <s v="EM ANÁLISE"/>
        <s v="EM NEGOCIAÇÃO"/>
        <s v="PENDENTE"/>
        <s v="SALDO PAGO"/>
      </sharedItems>
    </cacheField>
    <cacheField name="[Measures].[Contagem de Nº CONTRATO]" caption="Contagem de Nº CONTRATO" numFmtId="0" hierarchy="43" level="32767"/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0" memberValueDatatype="130" unbalanced="0"/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0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0" memberValueDatatype="130" unbalanced="0"/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2" memberValueDatatype="130" unbalanced="0">
      <fieldsUsage count="2">
        <fieldUsage x="-1"/>
        <fieldUsage x="0"/>
      </fieldsUsage>
    </cacheHierarchy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0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0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0.995537499999" backgroundQuery="1" createdVersion="8" refreshedVersion="8" minRefreshableVersion="3" recordCount="0" supportSubquery="1" supportAdvancedDrill="1" xr:uid="{4DDC891E-957E-4056-8D40-526C3DA1BB49}">
  <cacheSource type="external" connectionId="3"/>
  <cacheFields count="2">
    <cacheField name="[Measures].[Soma de VLR BRUTO]" caption="Soma de VLR BRUTO" numFmtId="0" hierarchy="44" level="32767"/>
    <cacheField name="[fContratos].[BANCO].[BANCO]" caption="BANCO" numFmtId="0" hierarchy="13" level="1">
      <sharedItems count="8">
        <s v="BMG"/>
        <s v="BRADESCO"/>
        <s v="C6 BANK"/>
        <s v="DAYCOVAL"/>
        <s v="ITAU BMG"/>
        <s v="OLÉ"/>
        <s v="PAN"/>
        <s v="SAFRA"/>
      </sharedItems>
    </cacheField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0" memberValueDatatype="130" unbalanced="0"/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0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2" memberValueDatatype="130" unbalanced="0">
      <fieldsUsage count="2">
        <fieldUsage x="-1"/>
        <fieldUsage x="1"/>
      </fieldsUsage>
    </cacheHierarchy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0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0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0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0.995536805553" backgroundQuery="1" createdVersion="8" refreshedVersion="8" minRefreshableVersion="3" recordCount="0" supportSubquery="1" supportAdvancedDrill="1" xr:uid="{EFC2512A-984C-4187-85C5-CC94B1FFFBE6}">
  <cacheSource type="external" connectionId="3"/>
  <cacheFields count="2">
    <cacheField name="[fContratos].[OPERADOR].[OPERADOR]" caption="OPERADOR" numFmtId="0" hierarchy="7" level="1">
      <sharedItems count="7">
        <s v="ALEXANDRE"/>
        <s v="AMANDA"/>
        <s v="ANA JULIA"/>
        <s v="CLAUDIO"/>
        <s v="DANIELE"/>
        <s v="MARIA"/>
        <s v="PEDRO"/>
      </sharedItems>
    </cacheField>
    <cacheField name="[Measures].[Contagem de Nº CONTRATO]" caption="Contagem de Nº CONTRATO" numFmtId="0" hierarchy="43" level="32767"/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2" memberValueDatatype="130" unbalanced="0">
      <fieldsUsage count="2">
        <fieldUsage x="-1"/>
        <fieldUsage x="0"/>
      </fieldsUsage>
    </cacheHierarchy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0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0" memberValueDatatype="130" unbalanced="0"/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0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0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0" memberValueDatatype="130" unbalanced="0"/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 Leite" refreshedDate="46161.006704513886" backgroundQuery="1" createdVersion="8" refreshedVersion="8" minRefreshableVersion="3" recordCount="0" supportSubquery="1" supportAdvancedDrill="1" xr:uid="{DE3B66FB-2E44-453A-A91E-D2D56504C2CD}">
  <cacheSource type="external" connectionId="3"/>
  <cacheFields count="3">
    <cacheField name="[fContratos].[Texto Antes do Delimitador].[Texto Antes do Delimitador]" caption="Texto Antes do Delimitador" numFmtId="0" hierarchy="33" level="1">
      <sharedItems count="3">
        <s v="NOVO"/>
        <s v="PORT"/>
        <s v="REFIN"/>
      </sharedItems>
    </cacheField>
    <cacheField name="[fContratos].[BANCO].[BANCO]" caption="BANCO" numFmtId="0" hierarchy="13" level="1">
      <sharedItems count="8">
        <s v="BMG"/>
        <s v="BRADESCO"/>
        <s v="C6 BANK"/>
        <s v="DAYCOVAL"/>
        <s v="ITAU BMG"/>
        <s v="OLÉ"/>
        <s v="PAN"/>
        <s v="SAFRA"/>
      </sharedItems>
    </cacheField>
    <cacheField name="[Measures].[Soma de VLR BRUTO]" caption="Soma de VLR BRUTO" numFmtId="0" hierarchy="44" level="32767"/>
  </cacheFields>
  <cacheHierarchies count="50"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0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úmero do Mês]" caption="Número do Mês" attribute="1" defaultMemberUniqueName="[dCalendario].[Número do Mês].[All]" allUniqueName="[dCalendario].[Número do 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2" memberValueDatatype="130" unbalanced="0"/>
    <cacheHierarchy uniqueName="[fContratos].[DATA LANC.]" caption="DATA LANC." attribute="1" time="1" defaultMemberUniqueName="[fContratos].[DATA LANC.].[All]" allUniqueName="[fContratos].[DATA LANC.].[All]" dimensionUniqueName="[fContratos]" displayFolder="" count="0" memberValueDatatype="7" unbalanced="0"/>
    <cacheHierarchy uniqueName="[fContratos].[RETORNO CIP]" caption="RETORNO CIP" attribute="1" time="1" defaultMemberUniqueName="[fContratos].[RETORNO CIP].[All]" allUniqueName="[fContratos].[RETORNO CIP].[All]" dimensionUniqueName="[fContratos]" displayFolder="" count="0" memberValueDatatype="7" unbalanced="0"/>
    <cacheHierarchy uniqueName="[fContratos].[OPERADOR]" caption="OPERADOR" attribute="1" defaultMemberUniqueName="[fContratos].[OPERADOR].[All]" allUniqueName="[fContratos].[OPERADOR].[All]" dimensionUniqueName="[fContratos]" displayFolder="" count="0" memberValueDatatype="130" unbalanced="0"/>
    <cacheHierarchy uniqueName="[fContratos].[TIPO DE BENEFICIO]" caption="TIPO DE BENEFICIO" attribute="1" defaultMemberUniqueName="[fContratos].[TIPO DE BENEFICIO].[All]" allUniqueName="[fContratos].[TIPO DE BENEFICIO].[All]" dimensionUniqueName="[fContratos]" displayFolder="" count="0" memberValueDatatype="130" unbalanced="0"/>
    <cacheHierarchy uniqueName="[fContratos].[CPF]" caption="CPF" attribute="1" defaultMemberUniqueName="[fContratos].[CPF].[All]" allUniqueName="[fContratos].[CPF].[All]" dimensionUniqueName="[fContratos]" displayFolder="" count="0" memberValueDatatype="130" unbalanced="0"/>
    <cacheHierarchy uniqueName="[fContratos].[NOME]" caption="NOME" attribute="1" defaultMemberUniqueName="[fContratos].[NOME].[All]" allUniqueName="[fContratos].[NOME].[All]" dimensionUniqueName="[fContratos]" displayFolder="" count="0" memberValueDatatype="130" unbalanced="0"/>
    <cacheHierarchy uniqueName="[fContratos].[Nº CONTRATO]" caption="Nº CONTRATO" attribute="1" defaultMemberUniqueName="[fContratos].[Nº CONTRATO].[All]" allUniqueName="[fContratos].[Nº CONTRATO].[All]" dimensionUniqueName="[fContratos]" displayFolder="" count="2" memberValueDatatype="130" unbalanced="0"/>
    <cacheHierarchy uniqueName="[fContratos].[TIPO CONT.]" caption="TIPO CONT." attribute="1" defaultMemberUniqueName="[fContratos].[TIPO CONT.].[All]" allUniqueName="[fContratos].[TIPO CONT.].[All]" dimensionUniqueName="[fContratos]" displayFolder="" count="0" memberValueDatatype="130" unbalanced="0"/>
    <cacheHierarchy uniqueName="[fContratos].[BANCO]" caption="BANCO" attribute="1" defaultMemberUniqueName="[fContratos].[BANCO].[All]" allUniqueName="[fContratos].[BANCO].[All]" dimensionUniqueName="[fContratos]" displayFolder="" count="2" memberValueDatatype="130" unbalanced="0">
      <fieldsUsage count="2">
        <fieldUsage x="-1"/>
        <fieldUsage x="1"/>
      </fieldsUsage>
    </cacheHierarchy>
    <cacheHierarchy uniqueName="[fContratos].[USUÁRIO]" caption="USUÁRIO" attribute="1" defaultMemberUniqueName="[fContratos].[USUÁRIO].[All]" allUniqueName="[fContratos].[USUÁRIO].[All]" dimensionUniqueName="[fContratos]" displayFolder="" count="0" memberValueDatatype="130" unbalanced="0"/>
    <cacheHierarchy uniqueName="[fContratos].[STATUS]" caption="STATUS" attribute="1" defaultMemberUniqueName="[fContratos].[STATUS].[All]" allUniqueName="[fContratos].[STATUS].[All]" dimensionUniqueName="[fContratos]" displayFolder="" count="0" memberValueDatatype="130" unbalanced="0"/>
    <cacheHierarchy uniqueName="[fContratos].[DT. ANÁLISE]" caption="DT. ANÁLISE" attribute="1" time="1" defaultMemberUniqueName="[fContratos].[DT. ANÁLISE].[All]" allUniqueName="[fContratos].[DT. ANÁLISE].[All]" dimensionUniqueName="[fContratos]" displayFolder="" count="0" memberValueDatatype="7" unbalanced="0"/>
    <cacheHierarchy uniqueName="[fContratos].[Status Detalhado]" caption="Status Detalhado" attribute="1" defaultMemberUniqueName="[fContratos].[Status Detalhado].[All]" allUniqueName="[fContratos].[Status Detalhado].[All]" dimensionUniqueName="[fContratos]" displayFolder="" count="0" memberValueDatatype="130" unbalanced="0"/>
    <cacheHierarchy uniqueName="[fContratos].[PRAZO]" caption="PRAZO" attribute="1" defaultMemberUniqueName="[fContratos].[PRAZO].[All]" allUniqueName="[fContratos].[PRAZO].[All]" dimensionUniqueName="[fContratos]" displayFolder="" count="0" memberValueDatatype="20" unbalanced="0"/>
    <cacheHierarchy uniqueName="[fContratos].[Faixa Prazo]" caption="Faixa Prazo" attribute="1" defaultMemberUniqueName="[fContratos].[Faixa Prazo].[All]" allUniqueName="[fContratos].[Faixa Prazo].[All]" dimensionUniqueName="[fContratos]" displayFolder="" count="0" memberValueDatatype="130" unbalanced="0"/>
    <cacheHierarchy uniqueName="[fContratos].[PARCELA REDUZIDA]" caption="PARCELA REDUZIDA" attribute="1" defaultMemberUniqueName="[fContratos].[PARCELA REDUZIDA].[All]" allUniqueName="[fContratos].[PARCELA REDUZIDA].[All]" dimensionUniqueName="[fContratos]" displayFolder="" count="0" memberValueDatatype="5" unbalanced="0"/>
    <cacheHierarchy uniqueName="[fContratos].[PARCELA ORIGINAL]" caption="PARCELA ORIGINAL" attribute="1" defaultMemberUniqueName="[fContratos].[PARCELA ORIGINAL].[All]" allUniqueName="[fContratos].[PARCELA ORIGINAL].[All]" dimensionUniqueName="[fContratos]" displayFolder="" count="0" memberValueDatatype="5" unbalanced="0"/>
    <cacheHierarchy uniqueName="[fContratos].[VLR BRUTO]" caption="VLR BRUTO" attribute="1" defaultMemberUniqueName="[fContratos].[VLR BRUTO].[All]" allUniqueName="[fContratos].[VLR BRUTO].[All]" dimensionUniqueName="[fContratos]" displayFolder="" count="0" memberValueDatatype="5" unbalanced="0"/>
    <cacheHierarchy uniqueName="[fContratos].[SALDO DEV.]" caption="SALDO DEV." attribute="1" defaultMemberUniqueName="[fContratos].[SALDO DEV.].[All]" allUniqueName="[fContratos].[SALDO DEV.].[All]" dimensionUniqueName="[fContratos]" displayFolder="" count="0" memberValueDatatype="5" unbalanced="0"/>
    <cacheHierarchy uniqueName="[fContratos].[VLR LÍQUIDO]" caption="VLR LÍQUIDO" attribute="1" defaultMemberUniqueName="[fContratos].[VLR LÍQUIDO].[All]" allUniqueName="[fContratos].[VLR LÍQUIDO].[All]" dimensionUniqueName="[fContratos]" displayFolder="" count="0" memberValueDatatype="5" unbalanced="0"/>
    <cacheHierarchy uniqueName="[fContratos].[TABELA]" caption="TABELA" attribute="1" defaultMemberUniqueName="[fContratos].[TABELA].[All]" allUniqueName="[fContratos].[TABELA].[All]" dimensionUniqueName="[fContratos]" displayFolder="" count="0" memberValueDatatype="130" unbalanced="0"/>
    <cacheHierarchy uniqueName="[fContratos].[RENTABILIDADE]" caption="RENTABILIDADE" attribute="1" defaultMemberUniqueName="[fContratos].[RENTABILIDADE].[All]" allUniqueName="[fContratos].[RENTABILIDADE].[All]" dimensionUniqueName="[fContratos]" displayFolder="" count="0" memberValueDatatype="130" unbalanced="0"/>
    <cacheHierarchy uniqueName="[fContratos].[TOTAL (R$)]" caption="TOTAL (R$)" attribute="1" defaultMemberUniqueName="[fContratos].[TOTAL (R$)].[All]" allUniqueName="[fContratos].[TOTAL (R$)].[All]" dimensionUniqueName="[fContratos]" displayFolder="" count="0" memberValueDatatype="20" unbalanced="0"/>
    <cacheHierarchy uniqueName="[fContratos].[DT AVERB.]" caption="DT AVERB." attribute="1" time="1" defaultMemberUniqueName="[fContratos].[DT AVERB.].[All]" allUniqueName="[fContratos].[DT AVERB.].[All]" dimensionUniqueName="[fContratos]" displayFolder="" count="0" memberValueDatatype="7" unbalanced="0"/>
    <cacheHierarchy uniqueName="[fContratos].[AVERBADO]" caption="AVERBADO" attribute="1" defaultMemberUniqueName="[fContratos].[AVERBADO].[All]" allUniqueName="[fContratos].[AVERBADO].[All]" dimensionUniqueName="[fContratos]" displayFolder="" count="0" memberValueDatatype="20" unbalanced="0"/>
    <cacheHierarchy uniqueName="[fContratos].[Mês]" caption="Mês" attribute="1" defaultMemberUniqueName="[fContratos].[Mês].[All]" allUniqueName="[fContratos].[Mês].[All]" dimensionUniqueName="[fContratos]" displayFolder="" count="0" memberValueDatatype="20" unbalanced="0"/>
    <cacheHierarchy uniqueName="[fContratos].[Ano]" caption="Ano" attribute="1" defaultMemberUniqueName="[fContratos].[Ano].[All]" allUniqueName="[fContratos].[Ano].[All]" dimensionUniqueName="[fContratos]" displayFolder="" count="0" memberValueDatatype="20" unbalanced="0"/>
    <cacheHierarchy uniqueName="[fContratos].[Ano_Mes]" caption="Ano_Mes" attribute="1" defaultMemberUniqueName="[fContratos].[Ano_Mes].[All]" allUniqueName="[fContratos].[Ano_Mes].[All]" dimensionUniqueName="[fContratos]" displayFolder="" count="0" memberValueDatatype="130" unbalanced="0"/>
    <cacheHierarchy uniqueName="[fContratos].[Texto Antes do Delimitador]" caption="Texto Antes do Delimitador" attribute="1" defaultMemberUniqueName="[fContratos].[Texto Antes do Delimitador].[All]" allUniqueName="[fContratos].[Texto Antes do Delimitador].[All]" dimensionUniqueName="[fContratos]" displayFolder="" count="2" memberValueDatatype="130" unbalanced="0">
      <fieldsUsage count="2">
        <fieldUsage x="-1"/>
        <fieldUsage x="0"/>
      </fieldsUsage>
    </cacheHierarchy>
    <cacheHierarchy uniqueName="[Tabela5].[Operadores]" caption="Operadores" attribute="1" defaultMemberUniqueName="[Tabela5].[Operadores].[All]" allUniqueName="[Tabela5].[Operadores].[All]" dimensionUniqueName="[Tabela5]" displayFolder="" count="0" memberValueDatatype="130" unbalanced="0"/>
    <cacheHierarchy uniqueName="[Tabela7].[Operador]" caption="Operador" attribute="1" defaultMemberUniqueName="[Tabela7].[Operador].[All]" allUniqueName="[Tabela7].[Operador].[All]" dimensionUniqueName="[Tabela7]" displayFolder="" count="0" memberValueDatatype="130" unbalanced="0"/>
    <cacheHierarchy uniqueName="[Tabela7].[Contagem de Nº CONTRATO]" caption="Contagem de Nº CONTRATO" attribute="1" defaultMemberUniqueName="[Tabela7].[Contagem de Nº CONTRATO].[All]" allUniqueName="[Tabela7].[Contagem de Nº CONTRATO].[All]" dimensionUniqueName="[Tabela7]" displayFolder="" count="0" memberValueDatatype="20" unbalanced="0"/>
    <cacheHierarchy uniqueName="[Tabela7].[Coluna1]" caption="Coluna1" attribute="1" defaultMemberUniqueName="[Tabela7].[Coluna1].[All]" allUniqueName="[Tabela7].[Coluna1].[All]" dimensionUniqueName="[Tabela7]" displayFolder="" count="0" memberValueDatatype="5" unbalanced="0"/>
    <cacheHierarchy uniqueName="[Measures].[__XL_Count fContratos]" caption="__XL_Count fContratos" measure="1" displayFolder="" measureGroup="fContratos" count="0" hidden="1"/>
    <cacheHierarchy uniqueName="[Measures].[__XL_Count dCalendario]" caption="__XL_Count dCalendario" measure="1" displayFolder="" measureGroup="dCalendario" count="0" hidden="1"/>
    <cacheHierarchy uniqueName="[Measures].[__XL_Count Tabela5]" caption="__XL_Count Tabela5" measure="1" displayFolder="" measureGroup="Tabela5" count="0" hidden="1"/>
    <cacheHierarchy uniqueName="[Measures].[__XL_Count Tabela7]" caption="__XL_Count Tabela7" measure="1" displayFolder="" measureGroup="Tabela7" count="0" hidden="1"/>
    <cacheHierarchy uniqueName="[Measures].[__No measures defined]" caption="__No measures defined" measure="1" displayFolder="" count="0" hidden="1"/>
    <cacheHierarchy uniqueName="[Measures].[Contagem de Nº CONTRATO]" caption="Contagem de Nº CONTRATO" measure="1" displayFolder="" measureGroup="fContra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VLR BRUTO]" caption="Soma de VLR BRUTO" measure="1" displayFolder="" measureGroup="fContrat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oma de Mês]" caption="Soma de Mês" measure="1" displayFolder="" measureGroup="fContra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Mês 2]" caption="Soma de Mês 2" measure="1" displayFolder="" measureGroup="dCalendari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Ano]" caption="Soma de Ano" measure="1" displayFolder="" measureGroup="dCalendari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ontagem de Nº CONTRATO]" caption="Soma de Contagem de Nº CONTRATO" measure="1" displayFolder="" measureGroup="Tabela7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Número do Mês]" caption="Soma de Número do Mês" measure="1" displayFolder="" measureGroup="dCalendari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Calendario" uniqueName="[dCalendario]" caption="dCalendario"/>
    <dimension name="fContratos" uniqueName="[fContratos]" caption="fContratos"/>
    <dimension measure="1" name="Measures" uniqueName="[Measures]" caption="Measures"/>
    <dimension name="Tabela5" uniqueName="[Tabela5]" caption="Tabela5"/>
    <dimension name="Tabela7" uniqueName="[Tabela7]" caption="Tabela7"/>
  </dimensions>
  <measureGroups count="4">
    <measureGroup name="dCalendario" caption="dCalendario"/>
    <measureGroup name="fContratos" caption="fContratos"/>
    <measureGroup name="Tabela5" caption="Tabela5"/>
    <measureGroup name="Tabela7" caption="Tabela7"/>
  </measureGroups>
  <maps count="6">
    <map measureGroup="0" dimension="0"/>
    <map measureGroup="1" dimension="0"/>
    <map measureGroup="1" dimension="1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5EF77-43AF-4F0E-B9DE-9BFD5F66BC1C}" name="Tabela dinâmica7" cacheId="463" applyNumberFormats="0" applyBorderFormats="0" applyFontFormats="0" applyPatternFormats="0" applyAlignmentFormats="0" applyWidthHeightFormats="1" dataCaption="Valores" tag="a0dc201c-e91b-47f3-8175-e9368ef523b2" updatedVersion="8" minRefreshableVersion="3" useAutoFormatting="1" itemPrintTitles="1" createdVersion="8" indent="0" outline="1" outlineData="1" multipleFieldFilters="0" chartFormat="27">
  <location ref="E90:F99" firstHeaderRow="1" firstDataRow="1" firstDataCol="1"/>
  <pivotFields count="3"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LR BRUTO" fld="2" baseField="0" baseItem="0"/>
  </dataFields>
  <formats count="1">
    <format dxfId="17">
      <pivotArea outline="0" collapsedLevelsAreSubtotals="1" fieldPosition="0"/>
    </format>
  </formats>
  <chartFormats count="2">
    <chartFormat chart="2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ontratos]"/>
        <x15:activeTabTopLevelEntity name="[dCalendario]"/>
        <x15:activeTabTopLevelEntity name="[Tabela5]"/>
        <x15:activeTabTopLevelEntity name="[Tabela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F0578-1011-4CCA-BD14-06BBF568DAB9}" name="Tabela dinâmica6" cacheId="353" applyNumberFormats="0" applyBorderFormats="0" applyFontFormats="0" applyPatternFormats="0" applyAlignmentFormats="0" applyWidthHeightFormats="1" dataCaption="Valores" tag="c395865e-54cb-4624-b4c0-aff5318d031b" updatedVersion="8" minRefreshableVersion="3" useAutoFormatting="1" subtotalHiddenItems="1" itemPrintTitles="1" createdVersion="8" indent="0" outline="1" outlineData="1" multipleFieldFilters="0" chartFormat="15">
  <location ref="G66:H79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LR BRUTO" fld="1" baseField="0" baseItem="0" numFmtId="44"/>
  </dataFields>
  <formats count="1">
    <format dxfId="22">
      <pivotArea outline="0" collapsedLevelsAreSubtotals="1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Calendario]"/>
        <x15:activeTabTopLevelEntity name="[fContr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F6141-7143-4528-B9E6-B4D9979EB46C}" name="Tabela dinâmica5" cacheId="354" applyNumberFormats="0" applyBorderFormats="0" applyFontFormats="0" applyPatternFormats="0" applyAlignmentFormats="0" applyWidthHeightFormats="1" dataCaption="Valores" tag="7139130e-1b4a-4edf-a50a-acfee9f390d8" updatedVersion="8" minRefreshableVersion="3" useAutoFormatting="1" subtotalHiddenItems="1" itemPrintTitles="1" createdVersion="8" indent="0" outline="1" outlineData="1" multipleFieldFilters="0" chartFormat="9">
  <location ref="B57:E79" firstHeaderRow="0" firstDataRow="1" firstDataCol="2"/>
  <pivotFields count="4">
    <pivotField axis="axisRow" allDrilled="1" outline="0" subtotalTop="0" showAll="0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0"/>
    <field x="2"/>
  </rowFields>
  <rowItems count="22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3"/>
    </i>
    <i r="1">
      <x v="1"/>
    </i>
    <i r="1">
      <x v="2"/>
    </i>
    <i>
      <x v="3"/>
      <x/>
    </i>
    <i>
      <x v="4"/>
      <x/>
    </i>
    <i r="1">
      <x v="1"/>
    </i>
    <i r="1">
      <x v="2"/>
    </i>
    <i>
      <x v="5"/>
      <x/>
    </i>
    <i r="1">
      <x v="3"/>
    </i>
    <i r="1">
      <x v="1"/>
    </i>
    <i r="1">
      <x v="2"/>
    </i>
    <i>
      <x v="6"/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Nº CONTRATO" fld="1" subtotal="count" baseField="0" baseItem="0"/>
    <dataField name="Soma de VLR BRUTO" fld="3" baseField="0" baseItem="0" numFmtId="44"/>
  </dataFields>
  <formats count="1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édito Consignado.xlsx!fContratos">
        <x15:activeTabTopLevelEntity name="[fContr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652BF-9832-4797-B945-1FE2B18832DE}" name="Tabela dinâmica4" cacheId="355" applyNumberFormats="0" applyBorderFormats="0" applyFontFormats="0" applyPatternFormats="0" applyAlignmentFormats="0" applyWidthHeightFormats="1" dataCaption="Valores" tag="1c4778eb-ec38-428a-9a57-7f5f9f4a8c76" updatedVersion="8" minRefreshableVersion="3" subtotalHiddenItems="1" itemPrintTitles="1" createdVersion="8" indent="0" outline="1" outlineData="1" multipleFieldFilters="0" chartFormat="19">
  <location ref="B90:C103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ntagem de Nº CONTRATO" fld="1" subtotal="count" baseField="0" baseItem="0"/>
  </dataFields>
  <chartFormats count="2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ontratos]"/>
        <x15:activeTabTopLevelEntity name="[d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473DF-5B2D-4D2E-9CB4-D2816AFFB14C}" name="Tabela dinâmica3" cacheId="356" applyNumberFormats="0" applyBorderFormats="0" applyFontFormats="0" applyPatternFormats="0" applyAlignmentFormats="0" applyWidthHeightFormats="1" dataCaption="Valores" tag="d55138fd-6f93-4fd8-8d17-de089ee6a54a" updatedVersion="8" minRefreshableVersion="3" useAutoFormatting="1" subtotalHiddenItems="1" itemPrintTitles="1" createdVersion="8" indent="0" outline="1" outlineData="1" multipleFieldFilters="0" chartFormat="8">
  <location ref="H20:I30" firstHeaderRow="1" firstDataRow="1" firstDataCol="1"/>
  <pivotFields count="2">
    <pivotField axis="axisRow" allDrilled="1" outline="0" subtotalTop="0" showAll="0" sortType="descending" defaultSubtotal="0" defaultAttributeDrillState="1">
      <items count="9">
        <item x="0" e="0"/>
        <item x="1" e="0"/>
        <item x="2" e="0"/>
        <item x="3" e="0"/>
        <item x="4" e="0"/>
        <item x="5" e="0"/>
        <item x="6" e="0"/>
        <item x="7" e="0"/>
        <item x="8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 v="3"/>
    </i>
    <i>
      <x/>
    </i>
    <i>
      <x v="5"/>
    </i>
    <i>
      <x v="6"/>
    </i>
    <i>
      <x v="7"/>
    </i>
    <i>
      <x v="2"/>
    </i>
    <i>
      <x v="1"/>
    </i>
    <i>
      <x v="4"/>
    </i>
    <i>
      <x v="8"/>
    </i>
    <i t="grand">
      <x/>
    </i>
  </rowItems>
  <colItems count="1">
    <i/>
  </colItems>
  <dataFields count="1">
    <dataField name="Contagem de Nº CONTRATO" fld="1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ontr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FCF60-15D7-44C6-9F16-81CC518783F3}" name="Tabela dinâmica2" cacheId="357" applyNumberFormats="0" applyBorderFormats="0" applyFontFormats="0" applyPatternFormats="0" applyAlignmentFormats="0" applyWidthHeightFormats="1" dataCaption="Valores" tag="fa28c864-f8ac-4d12-bc01-859dc2221f4a" updatedVersion="8" minRefreshableVersion="3" useAutoFormatting="1" subtotalHiddenItems="1" itemPrintTitles="1" createdVersion="8" indent="0" outline="1" outlineData="1" multipleFieldFilters="0">
  <location ref="E20:F2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LR BRUTO" fld="0" baseField="0" baseItem="0" numFmtId="44"/>
  </dataFields>
  <formats count="1">
    <format dxfId="20">
      <pivotArea outline="0" collapsedLevelsAreSubtotals="1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ontr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15FAC-2BBC-401E-B55F-14AF10FB1B8E}" name="Tabela dinâmica1" cacheId="358" applyNumberFormats="0" applyBorderFormats="0" applyFontFormats="0" applyPatternFormats="0" applyAlignmentFormats="0" applyWidthHeightFormats="1" dataCaption="Valores" tag="aac2ddab-f7fd-4231-9756-1debb591dae0" updatedVersion="8" minRefreshableVersion="3" useAutoFormatting="1" subtotalHiddenItems="1" itemPrintTitles="1" createdVersion="8" indent="0" outline="1" outlineData="1" multipleFieldFilters="0" chartFormat="9">
  <location ref="B20:C28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5"/>
    </i>
    <i>
      <x v="1"/>
    </i>
    <i>
      <x v="4"/>
    </i>
    <i>
      <x/>
    </i>
    <i>
      <x v="6"/>
    </i>
    <i>
      <x v="2"/>
    </i>
    <i>
      <x v="3"/>
    </i>
    <i t="grand">
      <x/>
    </i>
  </rowItems>
  <colItems count="1">
    <i/>
  </colItems>
  <dataFields count="1">
    <dataField name="Contagem de Nº CONTRATO" fld="1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édito Consignado.xlsx!fContratos">
        <x15:activeTabTopLevelEntity name="[fContr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8FD0E6CC-5668-4D13-98E9-E02E7943075F}" autoFormatId="16" applyNumberFormats="0" applyBorderFormats="0" applyFontFormats="0" applyPatternFormats="0" applyAlignmentFormats="0" applyWidthHeightFormats="0">
  <queryTableRefresh nextId="30">
    <queryTableFields count="29">
      <queryTableField id="1" name="DATA LANC." tableColumnId="1"/>
      <queryTableField id="2" name="RETORNO CIP" tableColumnId="2"/>
      <queryTableField id="3" name="OPERADOR" tableColumnId="3"/>
      <queryTableField id="4" name="TIPO DE BENEFICIO" tableColumnId="4"/>
      <queryTableField id="5" name="CPF" tableColumnId="5"/>
      <queryTableField id="6" name="NOME" tableColumnId="6"/>
      <queryTableField id="7" name="Nº CONTRATO" tableColumnId="7"/>
      <queryTableField id="8" name="TIPO CONT." tableColumnId="8"/>
      <queryTableField id="9" name="BANCO " tableColumnId="9"/>
      <queryTableField id="10" name="USUÁRIO" tableColumnId="10"/>
      <queryTableField id="11" name="STATUS" tableColumnId="11"/>
      <queryTableField id="12" name="DT. ANÁLISE" tableColumnId="12"/>
      <queryTableField id="13" name="Status Detalhado" tableColumnId="13"/>
      <queryTableField id="14" name="PRAZO" tableColumnId="14"/>
      <queryTableField id="29" dataBound="0" tableColumnId="29"/>
      <queryTableField id="15" name="PARCELA REDUZIDA" tableColumnId="15"/>
      <queryTableField id="16" name="PARCELA ORIGINAL" tableColumnId="16"/>
      <queryTableField id="17" name="VLR BRUTO" tableColumnId="17"/>
      <queryTableField id="18" name="SALDO DEV." tableColumnId="18"/>
      <queryTableField id="19" name="VLR LÍQUIDO" tableColumnId="19"/>
      <queryTableField id="20" name="TABELA" tableColumnId="20"/>
      <queryTableField id="21" name="RENTABILIDADE" tableColumnId="21"/>
      <queryTableField id="22" name="TOTAL (R$)" tableColumnId="22"/>
      <queryTableField id="23" name="DT AVERB." tableColumnId="23"/>
      <queryTableField id="24" name="AVERBADO" tableColumnId="24"/>
      <queryTableField id="25" name="Mês" tableColumnId="25"/>
      <queryTableField id="26" name="Ano" tableColumnId="26"/>
      <queryTableField id="27" name="Ano_Mes" tableColumnId="27"/>
      <queryTableField id="28" name="Texto Antes do Delimitador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5BACBF1-D6A7-4384-84D7-0634758E2382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Ano" tableColumnId="2"/>
      <queryTableField id="3" name="Mês" tableColumnId="3"/>
      <queryTableField id="4" name="Número do Mês" tableColumnId="4"/>
      <queryTableField id="5" name="Nome do Mê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7E9950-6944-4256-9187-6355D4B494DB}" name="Tabela7" displayName="Tabela7" ref="J4:L12" totalsRowShown="0">
  <autoFilter ref="J4:L12" xr:uid="{637E9950-6944-4256-9187-6355D4B494DB}"/>
  <sortState xmlns:xlrd2="http://schemas.microsoft.com/office/spreadsheetml/2017/richdata2" ref="J5:L12">
    <sortCondition ref="L4:L12"/>
  </sortState>
  <tableColumns count="3">
    <tableColumn id="1" xr3:uid="{B6BD2399-6953-415D-9F08-CC42B3510CB7}" name="Operador"/>
    <tableColumn id="2" xr3:uid="{E0083762-F127-4963-985D-2F697C7F6074}" name="Contagem de Nº CONTRATO"/>
    <tableColumn id="3" xr3:uid="{82B21E33-AC08-4758-9A2D-68462B76E784}" name="Coluna1" dataDxfId="24" dataCellStyle="Porcentagem">
      <calculatedColumnFormula>Tabela7[[#This Row],[Contagem de Nº CONTRATO]]/$K$12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95FF2-F64A-47E3-B7A0-84D3BD4266E1}" name="fContratos" displayName="fContratos" ref="A1:AC223" tableType="queryTable" totalsRowShown="0">
  <autoFilter ref="A1:AC223" xr:uid="{E1895FF2-F64A-47E3-B7A0-84D3BD4266E1}"/>
  <tableColumns count="29">
    <tableColumn id="1" xr3:uid="{E3972198-5FFA-4EA0-8D94-26FCC2D0D72F}" uniqueName="1" name="DATA LANC." queryTableFieldId="1" dataDxfId="16"/>
    <tableColumn id="2" xr3:uid="{EBB01E4C-78F7-4894-81CD-FD577740B079}" uniqueName="2" name="RETORNO CIP" queryTableFieldId="2" dataDxfId="15"/>
    <tableColumn id="3" xr3:uid="{B979ED19-72E7-4229-A125-4C0EC8ACD3BE}" uniqueName="3" name="OPERADOR" queryTableFieldId="3" dataDxfId="14"/>
    <tableColumn id="4" xr3:uid="{6BEDE124-E65F-46B6-9117-B4FCB559092B}" uniqueName="4" name="TIPO DE BENEFICIO" queryTableFieldId="4" dataDxfId="13"/>
    <tableColumn id="5" xr3:uid="{C8F22552-95B2-43FA-A880-7847CAB1248F}" uniqueName="5" name="CPF" queryTableFieldId="5" dataDxfId="12"/>
    <tableColumn id="6" xr3:uid="{C14D3001-311A-46FA-94C6-8BAF60F53BC8}" uniqueName="6" name="NOME" queryTableFieldId="6" dataDxfId="11"/>
    <tableColumn id="7" xr3:uid="{C72E059C-AAC6-472F-A34A-FDF106010FAD}" uniqueName="7" name="Nº CONTRATO" queryTableFieldId="7" dataDxfId="10"/>
    <tableColumn id="8" xr3:uid="{27843DFE-C1B3-4045-BC24-94934365FCE1}" uniqueName="8" name="TIPO CONT." queryTableFieldId="8" dataDxfId="9"/>
    <tableColumn id="9" xr3:uid="{A8068C74-1443-4AD5-B4EA-0304B03E2D87}" uniqueName="9" name="BANCO " queryTableFieldId="9" dataDxfId="8"/>
    <tableColumn id="10" xr3:uid="{5DF3DB2F-9AB6-45E8-8CDB-C71272B69C53}" uniqueName="10" name="USUÁRIO" queryTableFieldId="10" dataDxfId="7"/>
    <tableColumn id="11" xr3:uid="{7CCB5C58-AB82-442A-B5DD-79B837DECD83}" uniqueName="11" name="STATUS" queryTableFieldId="11" dataDxfId="6"/>
    <tableColumn id="12" xr3:uid="{F7E5F2C1-0421-4115-B411-949ED575C28D}" uniqueName="12" name="DT. ANÁLISE" queryTableFieldId="12" dataDxfId="5"/>
    <tableColumn id="13" xr3:uid="{8366463E-E9C0-4244-8A60-56E98BD2D0DE}" uniqueName="13" name="Status Detalhado" queryTableFieldId="13" dataDxfId="4"/>
    <tableColumn id="14" xr3:uid="{CECCF0D9-799C-4423-A564-565544212362}" uniqueName="14" name="PRAZO" queryTableFieldId="14"/>
    <tableColumn id="29" xr3:uid="{2599E85F-F080-428B-8C49-AF55AD4CA3A2}" uniqueName="29" name="Faixa Prazo" queryTableFieldId="29" dataDxfId="23"/>
    <tableColumn id="15" xr3:uid="{FE5A2B10-313B-4388-90B0-B25B4E7D87CD}" uniqueName="15" name="PARCELA REDUZIDA" queryTableFieldId="15"/>
    <tableColumn id="16" xr3:uid="{FB52AA3E-2101-4A7D-99DA-473F90ADD9DF}" uniqueName="16" name="PARCELA ORIGINAL" queryTableFieldId="16"/>
    <tableColumn id="17" xr3:uid="{5C91F834-9235-4D37-B5D5-DA9A1406CEC6}" uniqueName="17" name="VLR BRUTO" queryTableFieldId="17"/>
    <tableColumn id="18" xr3:uid="{82BD4148-813C-4C40-9BDF-B10987BBB2BF}" uniqueName="18" name="SALDO DEV." queryTableFieldId="18"/>
    <tableColumn id="19" xr3:uid="{8689BC3A-A1D3-43EA-B8FE-44E8A2BD559D}" uniqueName="19" name="VLR LÍQUIDO" queryTableFieldId="19"/>
    <tableColumn id="20" xr3:uid="{0C2B2CC5-7C91-464E-B625-332E3C2610BE}" uniqueName="20" name="TABELA" queryTableFieldId="20" dataDxfId="3"/>
    <tableColumn id="21" xr3:uid="{6B504D76-A218-4DB4-9E84-7304B31633F1}" uniqueName="21" name="RENTABILIDADE" queryTableFieldId="21" dataDxfId="2"/>
    <tableColumn id="22" xr3:uid="{EBD55346-4CE5-4347-9C18-106FCA5300A3}" uniqueName="22" name="TOTAL (R$)" queryTableFieldId="22"/>
    <tableColumn id="23" xr3:uid="{C99761C4-6755-4BEC-AF52-1C634ADF2396}" uniqueName="23" name="DT AVERB." queryTableFieldId="23" dataDxfId="1"/>
    <tableColumn id="24" xr3:uid="{BE634B85-EE56-4553-B7B9-C9168FF59569}" uniqueName="24" name="AVERBADO" queryTableFieldId="24"/>
    <tableColumn id="25" xr3:uid="{B83C974E-BCF1-4381-B1B0-B4B7594F7C62}" uniqueName="25" name="Mês" queryTableFieldId="25"/>
    <tableColumn id="26" xr3:uid="{6C7A39AE-8588-4BDE-A3BE-C4290C4FB858}" uniqueName="26" name="Ano" queryTableFieldId="26"/>
    <tableColumn id="27" xr3:uid="{33F8CBDD-2918-4369-8693-C634128AC93D}" uniqueName="27" name="Ano_Mes" queryTableFieldId="27"/>
    <tableColumn id="28" xr3:uid="{F544E3B8-BE5F-453B-843E-154D9ED6F113}" uniqueName="28" name="Tipo Simples" queryTableFieldId="28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52A414-65D0-4BC0-92F5-1524682AE312}" name="dCalendario" displayName="dCalendario" ref="A1:E223" tableType="queryTable" totalsRowShown="0">
  <autoFilter ref="A1:E223" xr:uid="{D652A414-65D0-4BC0-92F5-1524682AE312}"/>
  <tableColumns count="5">
    <tableColumn id="1" xr3:uid="{EE405BC5-0689-4535-80FC-60736F9127CC}" uniqueName="1" name="Data" queryTableFieldId="1" dataDxfId="19"/>
    <tableColumn id="2" xr3:uid="{D7EA469D-8C1A-4DA9-BEA6-60013B625253}" uniqueName="2" name="Ano" queryTableFieldId="2"/>
    <tableColumn id="3" xr3:uid="{C37D83A5-84AE-4A48-B070-539313D17899}" uniqueName="3" name="Mês" queryTableFieldId="3"/>
    <tableColumn id="4" xr3:uid="{9FD4DF05-49D5-453C-9BA4-6299524B6B75}" uniqueName="4" name="Número do Mês" queryTableFieldId="4"/>
    <tableColumn id="5" xr3:uid="{36CCE2F1-3789-4043-BF41-D2FF0C2C5A77}" uniqueName="5" name="Nome do Mês" queryTableFieldId="5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A11D12-FEBF-4AEE-B586-2D4EF1F46536}" name="Tabela5" displayName="Tabela5" ref="A1:A8" totalsRowShown="0">
  <autoFilter ref="A1:A8" xr:uid="{4FA11D12-FEBF-4AEE-B586-2D4EF1F46536}"/>
  <tableColumns count="1">
    <tableColumn id="1" xr3:uid="{CA50A3AE-A2E4-403C-B889-F2EC8DE7B462}" name="Operador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B9F253-2C82-48EA-8C93-19F0812D6F79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47827b5c-c42f-46bc-91f0-213704c1164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3"/>
  <sheetViews>
    <sheetView workbookViewId="0">
      <selection activeCell="I102" sqref="I102"/>
    </sheetView>
  </sheetViews>
  <sheetFormatPr defaultRowHeight="15" x14ac:dyDescent="0.25"/>
  <cols>
    <col min="2" max="2" width="33.85546875" bestFit="1" customWidth="1"/>
    <col min="3" max="4" width="26.42578125" bestFit="1" customWidth="1"/>
    <col min="5" max="5" width="18" bestFit="1" customWidth="1"/>
    <col min="6" max="6" width="19.140625" bestFit="1" customWidth="1"/>
    <col min="7" max="7" width="14.28515625" bestFit="1" customWidth="1"/>
    <col min="8" max="8" width="19.140625" bestFit="1" customWidth="1"/>
    <col min="9" max="9" width="26.42578125" bestFit="1" customWidth="1"/>
    <col min="10" max="10" width="15.7109375" bestFit="1" customWidth="1"/>
    <col min="11" max="11" width="28.7109375" bestFit="1" customWidth="1"/>
    <col min="12" max="12" width="10.42578125" bestFit="1" customWidth="1"/>
  </cols>
  <sheetData>
    <row r="2" spans="2:12" x14ac:dyDescent="0.25">
      <c r="F2" s="22" t="s">
        <v>435</v>
      </c>
      <c r="G2" s="22"/>
      <c r="H2" s="22"/>
    </row>
    <row r="3" spans="2:12" x14ac:dyDescent="0.25">
      <c r="F3" s="19" t="s">
        <v>51</v>
      </c>
      <c r="G3" s="20">
        <v>3665.45</v>
      </c>
      <c r="H3" s="21">
        <f>G3/$G$11</f>
        <v>2.6068343174281937E-3</v>
      </c>
      <c r="J3" t="s">
        <v>418</v>
      </c>
      <c r="K3" t="s">
        <v>420</v>
      </c>
    </row>
    <row r="4" spans="2:12" x14ac:dyDescent="0.25">
      <c r="B4" t="s">
        <v>412</v>
      </c>
      <c r="C4">
        <f>COUNTA(fContratos[Nº CONTRATO])</f>
        <v>222</v>
      </c>
      <c r="F4" s="19" t="s">
        <v>48</v>
      </c>
      <c r="G4" s="20">
        <v>268242.96000000002</v>
      </c>
      <c r="H4" s="21">
        <f t="shared" ref="H4:H10" si="0">G4/$G$11</f>
        <v>0.19077192528516779</v>
      </c>
      <c r="J4" t="s">
        <v>436</v>
      </c>
      <c r="K4" t="s">
        <v>420</v>
      </c>
      <c r="L4" s="9" t="s">
        <v>430</v>
      </c>
    </row>
    <row r="5" spans="2:12" ht="30" x14ac:dyDescent="0.25">
      <c r="B5" s="5" t="s">
        <v>413</v>
      </c>
      <c r="C5">
        <f>SUMIF(fContratos[AVERBADO],1,fContratos[AVERBADO])</f>
        <v>11</v>
      </c>
      <c r="F5" s="19" t="s">
        <v>63</v>
      </c>
      <c r="G5" s="20">
        <v>6647.47</v>
      </c>
      <c r="H5" s="21">
        <f t="shared" si="0"/>
        <v>4.7276195064928986E-3</v>
      </c>
      <c r="J5" t="s">
        <v>67</v>
      </c>
      <c r="K5">
        <v>1</v>
      </c>
      <c r="L5" s="15">
        <f>Tabela7[[#This Row],[Contagem de Nº CONTRATO]]/$K$12</f>
        <v>4.5045045045045045E-3</v>
      </c>
    </row>
    <row r="6" spans="2:12" x14ac:dyDescent="0.25">
      <c r="B6" t="s">
        <v>414</v>
      </c>
      <c r="C6" s="8">
        <f>SUM(fContratos[VLR BRUTO])</f>
        <v>1406092.43</v>
      </c>
      <c r="F6" s="19" t="s">
        <v>59</v>
      </c>
      <c r="G6" s="20">
        <v>23893.37</v>
      </c>
      <c r="H6" s="21">
        <f t="shared" si="0"/>
        <v>1.6992744922181252E-2</v>
      </c>
      <c r="J6" t="s">
        <v>42</v>
      </c>
      <c r="K6">
        <v>9</v>
      </c>
      <c r="L6" s="9">
        <f>Tabela7[[#This Row],[Contagem de Nº CONTRATO]]/$K$12</f>
        <v>4.0540540540540543E-2</v>
      </c>
    </row>
    <row r="7" spans="2:12" x14ac:dyDescent="0.25">
      <c r="B7" t="s">
        <v>415</v>
      </c>
      <c r="C7" s="8">
        <f>C6/C4</f>
        <v>6333.7496846846843</v>
      </c>
      <c r="F7" s="19" t="s">
        <v>53</v>
      </c>
      <c r="G7" s="20">
        <v>3278.93</v>
      </c>
      <c r="H7" s="21">
        <f t="shared" si="0"/>
        <v>2.3319448494577271E-3</v>
      </c>
      <c r="J7" t="s">
        <v>36</v>
      </c>
      <c r="K7">
        <v>13</v>
      </c>
      <c r="L7" s="9">
        <f>Tabela7[[#This Row],[Contagem de Nº CONTRATO]]/$K$12</f>
        <v>5.8558558558558557E-2</v>
      </c>
    </row>
    <row r="8" spans="2:12" x14ac:dyDescent="0.25">
      <c r="B8" t="s">
        <v>416</v>
      </c>
      <c r="C8" s="8">
        <f>AVERAGE(fContratos[PRAZO])</f>
        <v>56.486486486486484</v>
      </c>
      <c r="F8" s="19" t="s">
        <v>61</v>
      </c>
      <c r="G8" s="20">
        <v>2868.09</v>
      </c>
      <c r="H8" s="21">
        <f t="shared" si="0"/>
        <v>2.0397592212341264E-3</v>
      </c>
      <c r="J8" t="s">
        <v>40</v>
      </c>
      <c r="K8">
        <v>16</v>
      </c>
      <c r="L8" s="9">
        <f>Tabela7[[#This Row],[Contagem de Nº CONTRATO]]/$K$12</f>
        <v>7.2072072072072071E-2</v>
      </c>
    </row>
    <row r="9" spans="2:12" x14ac:dyDescent="0.25">
      <c r="B9" t="s">
        <v>417</v>
      </c>
      <c r="C9" s="11">
        <f>COUNTIF(fContratos!K:K,"CANCELADO")/COUNTA(fContratos!K:K)</f>
        <v>0.48430493273542602</v>
      </c>
      <c r="F9" s="19" t="s">
        <v>47</v>
      </c>
      <c r="G9" s="20">
        <v>615576.4</v>
      </c>
      <c r="H9" s="21">
        <f t="shared" si="0"/>
        <v>0.43779227230460238</v>
      </c>
      <c r="J9" t="s">
        <v>44</v>
      </c>
      <c r="K9">
        <v>24</v>
      </c>
      <c r="L9" s="9">
        <f>Tabela7[[#This Row],[Contagem de Nº CONTRATO]]/$K$12</f>
        <v>0.10810810810810811</v>
      </c>
    </row>
    <row r="10" spans="2:12" x14ac:dyDescent="0.25">
      <c r="B10" t="s">
        <v>433</v>
      </c>
      <c r="C10" s="10">
        <f>COUNTIF(fContratos!Y:Y,1)/COUNTA(fContratos!A:A)</f>
        <v>4.9327354260089683E-2</v>
      </c>
      <c r="F10" s="19" t="s">
        <v>31</v>
      </c>
      <c r="G10" s="20">
        <v>481919.76</v>
      </c>
      <c r="H10" s="21">
        <f t="shared" si="0"/>
        <v>0.34273689959343573</v>
      </c>
      <c r="J10" t="s">
        <v>27</v>
      </c>
      <c r="K10">
        <v>61</v>
      </c>
      <c r="L10" s="9">
        <f>Tabela7[[#This Row],[Contagem de Nº CONTRATO]]/$K$12</f>
        <v>0.2747747747747748</v>
      </c>
    </row>
    <row r="11" spans="2:12" x14ac:dyDescent="0.25">
      <c r="B11" t="s">
        <v>434</v>
      </c>
      <c r="C11" s="6">
        <f>SUMIF(fContratos!Y:Y,1,fContratos!R:R)</f>
        <v>57137.080000000009</v>
      </c>
      <c r="F11" s="16" t="s">
        <v>419</v>
      </c>
      <c r="G11" s="17">
        <v>1406092.43</v>
      </c>
      <c r="H11" s="18">
        <f>SUM(H3:H10)</f>
        <v>1</v>
      </c>
      <c r="J11" t="s">
        <v>41</v>
      </c>
      <c r="K11">
        <v>98</v>
      </c>
      <c r="L11" s="9">
        <f>Tabela7[[#This Row],[Contagem de Nº CONTRATO]]/$K$12</f>
        <v>0.44144144144144143</v>
      </c>
    </row>
    <row r="12" spans="2:12" x14ac:dyDescent="0.25">
      <c r="J12" t="s">
        <v>419</v>
      </c>
      <c r="K12">
        <v>222</v>
      </c>
      <c r="L12" s="15">
        <f>Tabela7[[#This Row],[Contagem de Nº CONTRATO]]/$K$12</f>
        <v>1</v>
      </c>
    </row>
    <row r="19" spans="2:9" x14ac:dyDescent="0.25">
      <c r="B19" s="14" t="s">
        <v>421</v>
      </c>
      <c r="C19" s="14"/>
      <c r="E19" s="14" t="s">
        <v>423</v>
      </c>
      <c r="F19" s="14"/>
    </row>
    <row r="20" spans="2:9" x14ac:dyDescent="0.25">
      <c r="B20" s="12" t="s">
        <v>418</v>
      </c>
      <c r="C20" t="s">
        <v>420</v>
      </c>
      <c r="E20" s="12" t="s">
        <v>418</v>
      </c>
      <c r="F20" t="s">
        <v>422</v>
      </c>
      <c r="H20" s="12" t="s">
        <v>418</v>
      </c>
      <c r="I20" t="s">
        <v>420</v>
      </c>
    </row>
    <row r="21" spans="2:9" x14ac:dyDescent="0.25">
      <c r="B21" s="13" t="s">
        <v>41</v>
      </c>
      <c r="C21" s="2">
        <v>98</v>
      </c>
      <c r="E21" s="13" t="s">
        <v>51</v>
      </c>
      <c r="F21" s="7">
        <v>3665.45</v>
      </c>
      <c r="H21" t="s">
        <v>32</v>
      </c>
      <c r="I21" s="2">
        <v>108</v>
      </c>
    </row>
    <row r="22" spans="2:9" x14ac:dyDescent="0.25">
      <c r="B22" s="13" t="s">
        <v>27</v>
      </c>
      <c r="C22" s="2">
        <v>61</v>
      </c>
      <c r="E22" s="13" t="s">
        <v>48</v>
      </c>
      <c r="F22" s="7">
        <v>268242.96000000002</v>
      </c>
      <c r="H22" t="s">
        <v>38</v>
      </c>
      <c r="I22" s="2">
        <v>48</v>
      </c>
    </row>
    <row r="23" spans="2:9" x14ac:dyDescent="0.25">
      <c r="B23" s="13" t="s">
        <v>44</v>
      </c>
      <c r="C23" s="2">
        <v>24</v>
      </c>
      <c r="E23" s="13" t="s">
        <v>63</v>
      </c>
      <c r="F23" s="7">
        <v>6647.47</v>
      </c>
      <c r="H23" t="s">
        <v>55</v>
      </c>
      <c r="I23" s="2">
        <v>19</v>
      </c>
    </row>
    <row r="24" spans="2:9" x14ac:dyDescent="0.25">
      <c r="B24" s="13" t="s">
        <v>40</v>
      </c>
      <c r="C24" s="2">
        <v>16</v>
      </c>
      <c r="E24" s="13" t="s">
        <v>59</v>
      </c>
      <c r="F24" s="7">
        <v>23893.37</v>
      </c>
      <c r="H24" t="s">
        <v>62</v>
      </c>
      <c r="I24" s="2">
        <v>10</v>
      </c>
    </row>
    <row r="25" spans="2:9" x14ac:dyDescent="0.25">
      <c r="B25" s="13" t="s">
        <v>36</v>
      </c>
      <c r="C25" s="2">
        <v>13</v>
      </c>
      <c r="E25" s="13" t="s">
        <v>53</v>
      </c>
      <c r="F25" s="7">
        <v>3278.93</v>
      </c>
      <c r="H25" t="s">
        <v>52</v>
      </c>
      <c r="I25" s="2">
        <v>10</v>
      </c>
    </row>
    <row r="26" spans="2:9" x14ac:dyDescent="0.25">
      <c r="B26" s="13" t="s">
        <v>42</v>
      </c>
      <c r="C26" s="2">
        <v>9</v>
      </c>
      <c r="E26" s="13" t="s">
        <v>61</v>
      </c>
      <c r="F26" s="7">
        <v>2868.09</v>
      </c>
      <c r="H26" t="s">
        <v>23</v>
      </c>
      <c r="I26" s="2">
        <v>8</v>
      </c>
    </row>
    <row r="27" spans="2:9" x14ac:dyDescent="0.25">
      <c r="B27" s="13" t="s">
        <v>67</v>
      </c>
      <c r="C27" s="2">
        <v>1</v>
      </c>
      <c r="E27" s="13" t="s">
        <v>47</v>
      </c>
      <c r="F27" s="7">
        <v>615576.4</v>
      </c>
      <c r="H27" t="s">
        <v>56</v>
      </c>
      <c r="I27" s="2">
        <v>8</v>
      </c>
    </row>
    <row r="28" spans="2:9" x14ac:dyDescent="0.25">
      <c r="B28" s="13" t="s">
        <v>419</v>
      </c>
      <c r="C28" s="2">
        <v>222</v>
      </c>
      <c r="E28" s="13" t="s">
        <v>31</v>
      </c>
      <c r="F28" s="7">
        <v>481919.76</v>
      </c>
      <c r="H28" t="s">
        <v>49</v>
      </c>
      <c r="I28" s="2">
        <v>8</v>
      </c>
    </row>
    <row r="29" spans="2:9" x14ac:dyDescent="0.25">
      <c r="E29" s="13" t="s">
        <v>419</v>
      </c>
      <c r="F29" s="7">
        <v>1406092.43</v>
      </c>
      <c r="H29" t="s">
        <v>57</v>
      </c>
      <c r="I29" s="2">
        <v>3</v>
      </c>
    </row>
    <row r="30" spans="2:9" x14ac:dyDescent="0.25">
      <c r="H30" t="s">
        <v>419</v>
      </c>
      <c r="I30" s="2">
        <v>222</v>
      </c>
    </row>
    <row r="57" spans="2:5" x14ac:dyDescent="0.25">
      <c r="B57" s="12" t="s">
        <v>418</v>
      </c>
      <c r="C57" s="12" t="s">
        <v>432</v>
      </c>
      <c r="D57" t="s">
        <v>420</v>
      </c>
      <c r="E57" t="s">
        <v>422</v>
      </c>
    </row>
    <row r="58" spans="2:5" x14ac:dyDescent="0.25">
      <c r="B58" s="13" t="s">
        <v>40</v>
      </c>
      <c r="C58" s="13" t="s">
        <v>447</v>
      </c>
      <c r="D58" s="2">
        <v>4</v>
      </c>
      <c r="E58" s="7">
        <v>40250</v>
      </c>
    </row>
    <row r="59" spans="2:5" x14ac:dyDescent="0.25">
      <c r="C59" s="13" t="s">
        <v>448</v>
      </c>
      <c r="D59" s="2">
        <v>2</v>
      </c>
      <c r="E59" s="7">
        <v>36284.379999999997</v>
      </c>
    </row>
    <row r="60" spans="2:5" x14ac:dyDescent="0.25">
      <c r="C60" s="13" t="s">
        <v>446</v>
      </c>
      <c r="D60" s="2">
        <v>10</v>
      </c>
      <c r="E60" s="7">
        <v>115890.35</v>
      </c>
    </row>
    <row r="61" spans="2:5" x14ac:dyDescent="0.25">
      <c r="B61" s="13" t="s">
        <v>27</v>
      </c>
      <c r="C61" s="13" t="s">
        <v>447</v>
      </c>
      <c r="D61" s="2">
        <v>13</v>
      </c>
      <c r="E61" s="7">
        <v>77052.210000000006</v>
      </c>
    </row>
    <row r="62" spans="2:5" x14ac:dyDescent="0.25">
      <c r="C62" s="13" t="s">
        <v>448</v>
      </c>
      <c r="D62" s="2">
        <v>19</v>
      </c>
      <c r="E62" s="7">
        <v>199362.06</v>
      </c>
    </row>
    <row r="63" spans="2:5" x14ac:dyDescent="0.25">
      <c r="C63" s="13" t="s">
        <v>446</v>
      </c>
      <c r="D63" s="2">
        <v>29</v>
      </c>
      <c r="E63" s="7">
        <v>121041.2</v>
      </c>
    </row>
    <row r="64" spans="2:5" x14ac:dyDescent="0.25">
      <c r="B64" s="13" t="s">
        <v>42</v>
      </c>
      <c r="C64" s="13" t="s">
        <v>447</v>
      </c>
      <c r="D64" s="2">
        <v>2</v>
      </c>
      <c r="E64" s="7">
        <v>23700</v>
      </c>
    </row>
    <row r="65" spans="2:8" x14ac:dyDescent="0.25">
      <c r="C65" s="13" t="s">
        <v>449</v>
      </c>
      <c r="D65" s="2">
        <v>1</v>
      </c>
      <c r="E65" s="7">
        <v>0</v>
      </c>
    </row>
    <row r="66" spans="2:8" x14ac:dyDescent="0.25">
      <c r="C66" s="13" t="s">
        <v>448</v>
      </c>
      <c r="D66" s="2">
        <v>4</v>
      </c>
      <c r="E66" s="7">
        <v>78950.37</v>
      </c>
      <c r="G66" s="12" t="s">
        <v>418</v>
      </c>
      <c r="H66" t="s">
        <v>422</v>
      </c>
    </row>
    <row r="67" spans="2:8" x14ac:dyDescent="0.25">
      <c r="C67" s="13" t="s">
        <v>446</v>
      </c>
      <c r="D67" s="2">
        <v>2</v>
      </c>
      <c r="E67" s="7">
        <v>0</v>
      </c>
      <c r="G67" s="13" t="s">
        <v>437</v>
      </c>
      <c r="H67" s="7">
        <v>165522.51</v>
      </c>
    </row>
    <row r="68" spans="2:8" x14ac:dyDescent="0.25">
      <c r="B68" s="13" t="s">
        <v>67</v>
      </c>
      <c r="C68" s="13" t="s">
        <v>447</v>
      </c>
      <c r="D68" s="2">
        <v>1</v>
      </c>
      <c r="E68" s="7">
        <v>15000</v>
      </c>
      <c r="G68" s="13" t="s">
        <v>441</v>
      </c>
      <c r="H68" s="7">
        <v>97435.21</v>
      </c>
    </row>
    <row r="69" spans="2:8" x14ac:dyDescent="0.25">
      <c r="B69" s="13" t="s">
        <v>44</v>
      </c>
      <c r="C69" s="13" t="s">
        <v>447</v>
      </c>
      <c r="D69" s="2">
        <v>3</v>
      </c>
      <c r="E69" s="7">
        <v>29538.52</v>
      </c>
      <c r="G69" s="13" t="s">
        <v>445</v>
      </c>
      <c r="H69" s="7">
        <v>186254.76</v>
      </c>
    </row>
    <row r="70" spans="2:8" x14ac:dyDescent="0.25">
      <c r="C70" s="13" t="s">
        <v>448</v>
      </c>
      <c r="D70" s="2">
        <v>8</v>
      </c>
      <c r="E70" s="7">
        <v>67447.520000000004</v>
      </c>
      <c r="G70" s="13" t="s">
        <v>429</v>
      </c>
      <c r="H70" s="7">
        <v>147661.59</v>
      </c>
    </row>
    <row r="71" spans="2:8" x14ac:dyDescent="0.25">
      <c r="C71" s="13" t="s">
        <v>446</v>
      </c>
      <c r="D71" s="2">
        <v>13</v>
      </c>
      <c r="E71" s="7">
        <v>35724.980000000003</v>
      </c>
      <c r="G71" s="13" t="s">
        <v>427</v>
      </c>
      <c r="H71" s="7">
        <v>169027.02</v>
      </c>
    </row>
    <row r="72" spans="2:8" x14ac:dyDescent="0.25">
      <c r="B72" s="13" t="s">
        <v>41</v>
      </c>
      <c r="C72" s="13" t="s">
        <v>447</v>
      </c>
      <c r="D72" s="2">
        <v>22</v>
      </c>
      <c r="E72" s="7">
        <v>28626.47</v>
      </c>
      <c r="G72" s="13" t="s">
        <v>440</v>
      </c>
      <c r="H72" s="7">
        <v>76209.210000000006</v>
      </c>
    </row>
    <row r="73" spans="2:8" x14ac:dyDescent="0.25">
      <c r="C73" s="13" t="s">
        <v>449</v>
      </c>
      <c r="D73" s="2">
        <v>4</v>
      </c>
      <c r="E73" s="7">
        <v>35405.81</v>
      </c>
      <c r="G73" s="13" t="s">
        <v>439</v>
      </c>
      <c r="H73" s="7">
        <v>108456.02</v>
      </c>
    </row>
    <row r="74" spans="2:8" x14ac:dyDescent="0.25">
      <c r="C74" s="13" t="s">
        <v>448</v>
      </c>
      <c r="D74" s="2">
        <v>15</v>
      </c>
      <c r="E74" s="7">
        <v>135854.75</v>
      </c>
      <c r="G74" s="13" t="s">
        <v>438</v>
      </c>
      <c r="H74" s="7">
        <v>129219.51</v>
      </c>
    </row>
    <row r="75" spans="2:8" x14ac:dyDescent="0.25">
      <c r="C75" s="13" t="s">
        <v>446</v>
      </c>
      <c r="D75" s="2">
        <v>57</v>
      </c>
      <c r="E75" s="7">
        <v>208433.18</v>
      </c>
      <c r="G75" s="13" t="s">
        <v>428</v>
      </c>
      <c r="H75" s="7">
        <v>85774.23</v>
      </c>
    </row>
    <row r="76" spans="2:8" x14ac:dyDescent="0.25">
      <c r="B76" s="13" t="s">
        <v>36</v>
      </c>
      <c r="C76" s="13" t="s">
        <v>447</v>
      </c>
      <c r="D76" s="2">
        <v>1</v>
      </c>
      <c r="E76" s="7">
        <v>6500</v>
      </c>
      <c r="G76" s="13" t="s">
        <v>444</v>
      </c>
      <c r="H76" s="7">
        <v>64949.89</v>
      </c>
    </row>
    <row r="77" spans="2:8" x14ac:dyDescent="0.25">
      <c r="C77" s="13" t="s">
        <v>448</v>
      </c>
      <c r="D77" s="2">
        <v>6</v>
      </c>
      <c r="E77" s="7">
        <v>94795.46</v>
      </c>
      <c r="G77" s="13" t="s">
        <v>443</v>
      </c>
      <c r="H77" s="7">
        <v>121571.09</v>
      </c>
    </row>
    <row r="78" spans="2:8" x14ac:dyDescent="0.25">
      <c r="C78" s="13" t="s">
        <v>446</v>
      </c>
      <c r="D78" s="2">
        <v>6</v>
      </c>
      <c r="E78" s="7">
        <v>56235.17</v>
      </c>
      <c r="G78" s="13" t="s">
        <v>442</v>
      </c>
      <c r="H78" s="7">
        <v>54011.39</v>
      </c>
    </row>
    <row r="79" spans="2:8" x14ac:dyDescent="0.25">
      <c r="B79" s="13" t="s">
        <v>419</v>
      </c>
      <c r="D79" s="2">
        <v>222</v>
      </c>
      <c r="E79" s="7">
        <v>1406092.43</v>
      </c>
      <c r="G79" s="13" t="s">
        <v>419</v>
      </c>
      <c r="H79" s="7">
        <v>1406092.43</v>
      </c>
    </row>
    <row r="90" spans="2:6" x14ac:dyDescent="0.25">
      <c r="B90" s="12" t="s">
        <v>418</v>
      </c>
      <c r="C90" t="s">
        <v>420</v>
      </c>
      <c r="E90" s="12" t="s">
        <v>418</v>
      </c>
      <c r="F90" t="s">
        <v>422</v>
      </c>
    </row>
    <row r="91" spans="2:6" x14ac:dyDescent="0.25">
      <c r="B91" s="13" t="s">
        <v>437</v>
      </c>
      <c r="C91" s="2">
        <v>18</v>
      </c>
      <c r="E91" s="13" t="s">
        <v>51</v>
      </c>
      <c r="F91" s="7">
        <v>3665.45</v>
      </c>
    </row>
    <row r="92" spans="2:6" x14ac:dyDescent="0.25">
      <c r="B92" s="13" t="s">
        <v>441</v>
      </c>
      <c r="C92" s="2">
        <v>18</v>
      </c>
      <c r="E92" s="13" t="s">
        <v>48</v>
      </c>
      <c r="F92" s="7">
        <v>268242.96000000002</v>
      </c>
    </row>
    <row r="93" spans="2:6" x14ac:dyDescent="0.25">
      <c r="B93" s="13" t="s">
        <v>445</v>
      </c>
      <c r="C93" s="2">
        <v>18</v>
      </c>
      <c r="E93" s="13" t="s">
        <v>63</v>
      </c>
      <c r="F93" s="7">
        <v>6647.47</v>
      </c>
    </row>
    <row r="94" spans="2:6" x14ac:dyDescent="0.25">
      <c r="B94" s="13" t="s">
        <v>429</v>
      </c>
      <c r="C94" s="2">
        <v>18</v>
      </c>
      <c r="E94" s="13" t="s">
        <v>59</v>
      </c>
      <c r="F94" s="7">
        <v>23893.37</v>
      </c>
    </row>
    <row r="95" spans="2:6" x14ac:dyDescent="0.25">
      <c r="B95" s="13" t="s">
        <v>427</v>
      </c>
      <c r="C95" s="2">
        <v>19</v>
      </c>
      <c r="E95" s="13" t="s">
        <v>53</v>
      </c>
      <c r="F95" s="7">
        <v>3278.93</v>
      </c>
    </row>
    <row r="96" spans="2:6" x14ac:dyDescent="0.25">
      <c r="B96" s="13" t="s">
        <v>440</v>
      </c>
      <c r="C96" s="2">
        <v>19</v>
      </c>
      <c r="E96" s="13" t="s">
        <v>61</v>
      </c>
      <c r="F96" s="7">
        <v>2868.09</v>
      </c>
    </row>
    <row r="97" spans="2:6" x14ac:dyDescent="0.25">
      <c r="B97" s="13" t="s">
        <v>439</v>
      </c>
      <c r="C97" s="2">
        <v>18</v>
      </c>
      <c r="E97" s="13" t="s">
        <v>47</v>
      </c>
      <c r="F97" s="7">
        <v>615576.4</v>
      </c>
    </row>
    <row r="98" spans="2:6" x14ac:dyDescent="0.25">
      <c r="B98" s="13" t="s">
        <v>438</v>
      </c>
      <c r="C98" s="2">
        <v>19</v>
      </c>
      <c r="E98" s="13" t="s">
        <v>31</v>
      </c>
      <c r="F98" s="7">
        <v>481919.76</v>
      </c>
    </row>
    <row r="99" spans="2:6" x14ac:dyDescent="0.25">
      <c r="B99" s="13" t="s">
        <v>428</v>
      </c>
      <c r="C99" s="2">
        <v>19</v>
      </c>
      <c r="E99" s="13" t="s">
        <v>419</v>
      </c>
      <c r="F99" s="7">
        <v>1406092.43</v>
      </c>
    </row>
    <row r="100" spans="2:6" x14ac:dyDescent="0.25">
      <c r="B100" s="13" t="s">
        <v>444</v>
      </c>
      <c r="C100" s="2">
        <v>19</v>
      </c>
    </row>
    <row r="101" spans="2:6" x14ac:dyDescent="0.25">
      <c r="B101" s="13" t="s">
        <v>443</v>
      </c>
      <c r="C101" s="2">
        <v>18</v>
      </c>
    </row>
    <row r="102" spans="2:6" x14ac:dyDescent="0.25">
      <c r="B102" s="13" t="s">
        <v>442</v>
      </c>
      <c r="C102" s="2">
        <v>19</v>
      </c>
    </row>
    <row r="103" spans="2:6" x14ac:dyDescent="0.25">
      <c r="B103" s="13" t="s">
        <v>419</v>
      </c>
      <c r="C103" s="2">
        <v>222</v>
      </c>
    </row>
  </sheetData>
  <mergeCells count="3">
    <mergeCell ref="B19:C19"/>
    <mergeCell ref="E19:F19"/>
    <mergeCell ref="F2:H2"/>
  </mergeCells>
  <pageMargins left="0.7" right="0.7" top="0.75" bottom="0.75" header="0.3" footer="0.3"/>
  <drawing r:id="rId8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9A17-FDDC-436D-8A06-A9242B35FC45}">
  <dimension ref="A12"/>
  <sheetViews>
    <sheetView tabSelected="1" zoomScale="85" zoomScaleNormal="85" workbookViewId="0">
      <selection activeCell="A4" sqref="A4"/>
    </sheetView>
  </sheetViews>
  <sheetFormatPr defaultRowHeight="15" x14ac:dyDescent="0.25"/>
  <sheetData>
    <row r="12" spans="1:1" x14ac:dyDescent="0.25">
      <c r="A12" s="23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C12A-7E6D-4A8A-B2D8-DAFA6C0D4136}">
  <dimension ref="B2:D49"/>
  <sheetViews>
    <sheetView topLeftCell="A14" workbookViewId="0">
      <selection activeCell="D49" sqref="D49"/>
    </sheetView>
  </sheetViews>
  <sheetFormatPr defaultRowHeight="15" x14ac:dyDescent="0.25"/>
  <cols>
    <col min="1" max="1" width="2.85546875" customWidth="1"/>
    <col min="2" max="2" width="53.28515625" customWidth="1"/>
    <col min="3" max="3" width="53.7109375" bestFit="1" customWidth="1"/>
    <col min="4" max="4" width="94.85546875" bestFit="1" customWidth="1"/>
  </cols>
  <sheetData>
    <row r="2" spans="2:4" ht="32.1" customHeight="1" x14ac:dyDescent="0.35">
      <c r="B2" s="27" t="s">
        <v>547</v>
      </c>
      <c r="C2" s="27"/>
      <c r="D2" s="27"/>
    </row>
    <row r="3" spans="2:4" x14ac:dyDescent="0.25">
      <c r="B3" s="38"/>
      <c r="C3" s="38"/>
      <c r="D3" s="38"/>
    </row>
    <row r="4" spans="2:4" x14ac:dyDescent="0.25">
      <c r="B4" s="28"/>
      <c r="C4" s="28"/>
      <c r="D4" s="28"/>
    </row>
    <row r="5" spans="2:4" ht="17.25" x14ac:dyDescent="0.3">
      <c r="B5" s="29" t="s">
        <v>546</v>
      </c>
      <c r="C5" s="29"/>
      <c r="D5" s="29"/>
    </row>
    <row r="6" spans="2:4" x14ac:dyDescent="0.25">
      <c r="B6" s="30" t="s">
        <v>481</v>
      </c>
      <c r="C6" s="39" t="s">
        <v>482</v>
      </c>
      <c r="D6" s="40" t="s">
        <v>483</v>
      </c>
    </row>
    <row r="7" spans="2:4" x14ac:dyDescent="0.25">
      <c r="B7" s="32" t="s">
        <v>484</v>
      </c>
      <c r="C7" s="33">
        <f>COUNTA(fContratos[Nº CONTRATO])</f>
        <v>222</v>
      </c>
      <c r="D7" s="41" t="s">
        <v>485</v>
      </c>
    </row>
    <row r="8" spans="2:4" x14ac:dyDescent="0.25">
      <c r="B8" s="32" t="s">
        <v>486</v>
      </c>
      <c r="C8" s="33">
        <f>COUNTIFS(fContratos[AVERBADO],1)</f>
        <v>11</v>
      </c>
      <c r="D8" s="41" t="s">
        <v>487</v>
      </c>
    </row>
    <row r="9" spans="2:4" x14ac:dyDescent="0.25">
      <c r="B9" s="32" t="s">
        <v>488</v>
      </c>
      <c r="C9" s="34">
        <f>C8/C7</f>
        <v>4.954954954954955E-2</v>
      </c>
      <c r="D9" s="41" t="s">
        <v>489</v>
      </c>
    </row>
    <row r="10" spans="2:4" x14ac:dyDescent="0.25">
      <c r="B10" s="32" t="s">
        <v>490</v>
      </c>
      <c r="C10" s="35">
        <f>SUM(fContratos[VLR BRUTO])</f>
        <v>1406092.43</v>
      </c>
      <c r="D10" s="41" t="s">
        <v>491</v>
      </c>
    </row>
    <row r="11" spans="2:4" x14ac:dyDescent="0.25">
      <c r="B11" s="32" t="s">
        <v>492</v>
      </c>
      <c r="C11" s="35">
        <f>SUMIFS(fContratos[VLR BRUTO],fContratos[AVERBADO],1)</f>
        <v>57137.080000000009</v>
      </c>
      <c r="D11" s="41" t="s">
        <v>493</v>
      </c>
    </row>
    <row r="12" spans="2:4" x14ac:dyDescent="0.25">
      <c r="B12" s="32" t="s">
        <v>494</v>
      </c>
      <c r="C12" s="35">
        <f>C10/C7</f>
        <v>6333.7496846846843</v>
      </c>
      <c r="D12" s="41" t="s">
        <v>495</v>
      </c>
    </row>
    <row r="13" spans="2:4" x14ac:dyDescent="0.25">
      <c r="B13" s="32" t="s">
        <v>496</v>
      </c>
      <c r="C13" s="34">
        <f>COUNTIF(fContratos[STATUS],"CANCELADO")/COUNTA(fContratos[STATUS])</f>
        <v>0.48648648648648651</v>
      </c>
      <c r="D13" s="41" t="s">
        <v>497</v>
      </c>
    </row>
    <row r="14" spans="2:4" x14ac:dyDescent="0.25">
      <c r="B14" s="32" t="s">
        <v>498</v>
      </c>
      <c r="C14" s="36">
        <f>AVERAGE(fContratos[PRAZO])</f>
        <v>56.486486486486484</v>
      </c>
      <c r="D14" s="41" t="s">
        <v>499</v>
      </c>
    </row>
    <row r="15" spans="2:4" x14ac:dyDescent="0.25">
      <c r="B15" s="28"/>
      <c r="C15" s="28"/>
      <c r="D15" s="28"/>
    </row>
    <row r="16" spans="2:4" ht="17.25" x14ac:dyDescent="0.3">
      <c r="B16" s="29" t="s">
        <v>548</v>
      </c>
      <c r="C16" s="29"/>
      <c r="D16" s="29"/>
    </row>
    <row r="17" spans="2:4" x14ac:dyDescent="0.25">
      <c r="B17" s="30" t="s">
        <v>500</v>
      </c>
      <c r="C17" s="31" t="s">
        <v>501</v>
      </c>
      <c r="D17" s="40" t="s">
        <v>502</v>
      </c>
    </row>
    <row r="18" spans="2:4" x14ac:dyDescent="0.25">
      <c r="B18" s="32" t="s">
        <v>503</v>
      </c>
      <c r="C18" s="34">
        <f>COUNTIF(fContratos[STATUS],"CANCELADO")/COUNTA(fContratos[STATUS])</f>
        <v>0.48648648648648651</v>
      </c>
      <c r="D18" s="41" t="s">
        <v>504</v>
      </c>
    </row>
    <row r="19" spans="2:4" x14ac:dyDescent="0.25">
      <c r="B19" s="32" t="s">
        <v>505</v>
      </c>
      <c r="C19" s="34">
        <f>C8/C7</f>
        <v>4.954954954954955E-2</v>
      </c>
      <c r="D19" s="41" t="s">
        <v>506</v>
      </c>
    </row>
    <row r="20" spans="2:4" x14ac:dyDescent="0.25">
      <c r="B20" s="32" t="s">
        <v>507</v>
      </c>
      <c r="C20" s="34">
        <f>(SUMIFS(fContratos[VLR BRUTO],fContratos[[BANCO ]],"PAN")+SUMIFS(fContratos[VLR BRUTO],fContratos[[BANCO ]],"SAFRA"))/SUM(fContratos[VLR BRUTO])</f>
        <v>0.78052917189803783</v>
      </c>
      <c r="D20" s="41" t="s">
        <v>508</v>
      </c>
    </row>
    <row r="21" spans="2:4" x14ac:dyDescent="0.25">
      <c r="B21" s="32" t="s">
        <v>509</v>
      </c>
      <c r="C21" s="33">
        <f>COUNTIF(fContratos[STATUS],"AG. ASS. DIG")</f>
        <v>48</v>
      </c>
      <c r="D21" s="41" t="s">
        <v>510</v>
      </c>
    </row>
    <row r="22" spans="2:4" x14ac:dyDescent="0.25">
      <c r="B22" s="32" t="s">
        <v>511</v>
      </c>
      <c r="C22" s="35">
        <f>SUMIFS(fContratos[VLR BRUTO],fContratos[STATUS],"CANCELADO")</f>
        <v>453382.24000000005</v>
      </c>
      <c r="D22" s="41" t="s">
        <v>512</v>
      </c>
    </row>
    <row r="23" spans="2:4" x14ac:dyDescent="0.25">
      <c r="B23" s="28"/>
      <c r="C23" s="28"/>
      <c r="D23" s="28"/>
    </row>
    <row r="24" spans="2:4" ht="17.25" x14ac:dyDescent="0.3">
      <c r="B24" s="29" t="s">
        <v>549</v>
      </c>
      <c r="C24" s="29"/>
      <c r="D24" s="29"/>
    </row>
    <row r="25" spans="2:4" x14ac:dyDescent="0.25">
      <c r="B25" s="30" t="s">
        <v>481</v>
      </c>
      <c r="C25" s="31" t="s">
        <v>482</v>
      </c>
      <c r="D25" s="40" t="s">
        <v>513</v>
      </c>
    </row>
    <row r="26" spans="2:4" x14ac:dyDescent="0.25">
      <c r="B26" s="32" t="s">
        <v>514</v>
      </c>
      <c r="C26" s="31" t="str">
        <f>INDEX(Analises!B21:B27,MATCH(MAX(Analises!C21:C27),Analises!C21:C27,0))</f>
        <v>MARIA</v>
      </c>
      <c r="D26" s="41" t="str">
        <f>"Lidera com "&amp;MAX(Analises!C21:C27)&amp;" contratos digitados"</f>
        <v>Lidera com 98 contratos digitados</v>
      </c>
    </row>
    <row r="27" spans="2:4" x14ac:dyDescent="0.25">
      <c r="B27" s="32" t="s">
        <v>515</v>
      </c>
      <c r="C27" s="31" t="str">
        <f>INDEX(Analises!B21:B27,MATCH(MIN(Analises!C21:C27),Analises!C21:C27,0))</f>
        <v>CLAUDIO</v>
      </c>
      <c r="D27" s="41" t="str">
        <f>"Apenas "&amp;MIN(Analises!C21:C27)&amp;" contrato(s) — avaliar performance ou realocar"</f>
        <v>Apenas 1 contrato(s) — avaliar performance ou realocar</v>
      </c>
    </row>
    <row r="28" spans="2:4" x14ac:dyDescent="0.25">
      <c r="B28" s="32" t="s">
        <v>516</v>
      </c>
      <c r="C28" s="34">
        <f>(LARGE(Analises!C21:C27,1)+LARGE(Analises!C21:C27,2))/SUM(Analises!C21:C27)</f>
        <v>0.71621621621621623</v>
      </c>
      <c r="D28" s="41" t="s">
        <v>517</v>
      </c>
    </row>
    <row r="29" spans="2:4" x14ac:dyDescent="0.25">
      <c r="B29" s="28"/>
      <c r="C29" s="28"/>
      <c r="D29" s="28"/>
    </row>
    <row r="30" spans="2:4" ht="17.25" x14ac:dyDescent="0.3">
      <c r="B30" s="29" t="s">
        <v>550</v>
      </c>
      <c r="C30" s="29"/>
      <c r="D30" s="29"/>
    </row>
    <row r="31" spans="2:4" x14ac:dyDescent="0.25">
      <c r="B31" s="30" t="s">
        <v>481</v>
      </c>
      <c r="C31" s="31" t="s">
        <v>482</v>
      </c>
      <c r="D31" s="40" t="s">
        <v>513</v>
      </c>
    </row>
    <row r="32" spans="2:4" x14ac:dyDescent="0.25">
      <c r="B32" s="32" t="s">
        <v>518</v>
      </c>
      <c r="C32" s="31" t="str">
        <f>INDEX(Analises!E21:E28,MATCH(MAX(Analises!F21:F28),Analises!F21:F28,0))</f>
        <v>PAN</v>
      </c>
      <c r="D32" s="41" t="str">
        <f>"R$ "&amp;TEXT(MAX(Analises!F21:F28),"#,##0.00")&amp;" — principal parceiro"</f>
        <v>R$ 615576,4000 — principal parceiro</v>
      </c>
    </row>
    <row r="33" spans="2:4" x14ac:dyDescent="0.25">
      <c r="B33" s="32" t="s">
        <v>519</v>
      </c>
      <c r="C33" s="31" t="str">
        <f>INDEX(Analises!E21:E28,MATCH(MIN(Analises!F21:F28),Analises!F21:F28,0))</f>
        <v>OLÉ</v>
      </c>
      <c r="D33" s="41" t="str">
        <f>"R$ "&amp;TEXT(MIN(Analises!F21:F28),"#,##0.00")&amp;" — oportunidade ou parceria a revisar"</f>
        <v>R$ 2868,09000 — oportunidade ou parceria a revisar</v>
      </c>
    </row>
    <row r="34" spans="2:4" x14ac:dyDescent="0.25">
      <c r="B34" s="32" t="s">
        <v>520</v>
      </c>
      <c r="C34" s="34">
        <f>MAX(Analises!F21:F28)/SUM(Analises!F21:F28)</f>
        <v>0.43779227230460233</v>
      </c>
      <c r="D34" s="41" t="s">
        <v>521</v>
      </c>
    </row>
    <row r="35" spans="2:4" x14ac:dyDescent="0.25">
      <c r="B35" s="28"/>
      <c r="C35" s="28"/>
      <c r="D35" s="28"/>
    </row>
    <row r="36" spans="2:4" ht="17.25" x14ac:dyDescent="0.3">
      <c r="B36" s="29" t="s">
        <v>551</v>
      </c>
      <c r="C36" s="29"/>
      <c r="D36" s="29"/>
    </row>
    <row r="37" spans="2:4" x14ac:dyDescent="0.25">
      <c r="B37" s="30" t="s">
        <v>481</v>
      </c>
      <c r="C37" s="31" t="s">
        <v>482</v>
      </c>
      <c r="D37" s="40" t="s">
        <v>513</v>
      </c>
    </row>
    <row r="38" spans="2:4" x14ac:dyDescent="0.25">
      <c r="B38" s="32" t="s">
        <v>522</v>
      </c>
      <c r="C38" s="31" t="str" cm="1">
        <f t="array" ref="C38">INDEX({"Jan";"Fev";"Mar";"Abr";"Mai";"Jun";"Jul";"Ago";"Set";"Out";"Nov";"Dez"},MATCH(MAX(COUNTIFS(fContratos[Mês],{1;2;3;4;5;6;7;8;9;10;11;12})),COUNTIFS(fContratos[Mês],{1;2;3;4;5;6;7;8;9;10;11;12}),0))</f>
        <v>Jan</v>
      </c>
      <c r="D38" s="41" t="s">
        <v>523</v>
      </c>
    </row>
    <row r="39" spans="2:4" x14ac:dyDescent="0.25">
      <c r="B39" s="32" t="s">
        <v>524</v>
      </c>
      <c r="C39" s="31" t="str" cm="1">
        <f t="array" ref="C39">INDEX({"Jan";"Fev";"Mar";"Abr";"Mai";"Jun";"Jul";"Ago";"Set";"Out";"Nov";"Dez"},MATCH(MIN(COUNTIFS(fContratos[Mês],{1;2;3;4;5;6;7;8;9;10;11;12})),COUNTIFS(fContratos[Mês],{1;2;3;4;5;6;7;8;9;10;11;12}),0))</f>
        <v>Fev</v>
      </c>
      <c r="D39" s="41" t="s">
        <v>525</v>
      </c>
    </row>
    <row r="40" spans="2:4" x14ac:dyDescent="0.25">
      <c r="B40" s="32" t="s">
        <v>526</v>
      </c>
      <c r="C40" s="36">
        <f>C7/12</f>
        <v>18.5</v>
      </c>
      <c r="D40" s="41" t="s">
        <v>527</v>
      </c>
    </row>
    <row r="42" spans="2:4" ht="17.25" x14ac:dyDescent="0.3">
      <c r="B42" s="29" t="s">
        <v>552</v>
      </c>
      <c r="C42" s="29"/>
      <c r="D42" s="29"/>
    </row>
    <row r="43" spans="2:4" x14ac:dyDescent="0.25">
      <c r="B43" s="37" t="s">
        <v>528</v>
      </c>
      <c r="C43" s="42" t="s">
        <v>529</v>
      </c>
      <c r="D43" s="42" t="s">
        <v>530</v>
      </c>
    </row>
    <row r="44" spans="2:4" x14ac:dyDescent="0.25">
      <c r="B44" s="24" t="s">
        <v>531</v>
      </c>
      <c r="C44" s="43" t="s">
        <v>532</v>
      </c>
      <c r="D44" s="43" t="s">
        <v>533</v>
      </c>
    </row>
    <row r="45" spans="2:4" x14ac:dyDescent="0.25">
      <c r="B45" s="24" t="s">
        <v>531</v>
      </c>
      <c r="C45" s="43" t="s">
        <v>534</v>
      </c>
      <c r="D45" s="43" t="s">
        <v>535</v>
      </c>
    </row>
    <row r="46" spans="2:4" x14ac:dyDescent="0.25">
      <c r="B46" s="25" t="s">
        <v>536</v>
      </c>
      <c r="C46" s="43" t="s">
        <v>537</v>
      </c>
      <c r="D46" s="43" t="s">
        <v>538</v>
      </c>
    </row>
    <row r="47" spans="2:4" x14ac:dyDescent="0.25">
      <c r="B47" s="25" t="s">
        <v>536</v>
      </c>
      <c r="C47" s="43" t="s">
        <v>539</v>
      </c>
      <c r="D47" s="43" t="s">
        <v>540</v>
      </c>
    </row>
    <row r="48" spans="2:4" x14ac:dyDescent="0.25">
      <c r="B48" s="26" t="s">
        <v>541</v>
      </c>
      <c r="C48" s="43" t="s">
        <v>542</v>
      </c>
      <c r="D48" s="43" t="s">
        <v>543</v>
      </c>
    </row>
    <row r="49" spans="2:4" x14ac:dyDescent="0.25">
      <c r="B49" s="26" t="s">
        <v>541</v>
      </c>
      <c r="C49" s="43" t="s">
        <v>544</v>
      </c>
      <c r="D49" s="43" t="s">
        <v>545</v>
      </c>
    </row>
  </sheetData>
  <mergeCells count="7">
    <mergeCell ref="B36:D36"/>
    <mergeCell ref="B42:D42"/>
    <mergeCell ref="B2:D2"/>
    <mergeCell ref="B5:D5"/>
    <mergeCell ref="B16:D16"/>
    <mergeCell ref="B24:D24"/>
    <mergeCell ref="B30:D3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0397-CA87-413F-8822-02203692D522}">
  <dimension ref="A1:AC223"/>
  <sheetViews>
    <sheetView topLeftCell="O1" workbookViewId="0">
      <selection activeCell="AC2" sqref="AC2"/>
    </sheetView>
  </sheetViews>
  <sheetFormatPr defaultRowHeight="15" x14ac:dyDescent="0.25"/>
  <cols>
    <col min="1" max="1" width="13.85546875" bestFit="1" customWidth="1"/>
    <col min="2" max="2" width="15.140625" bestFit="1" customWidth="1"/>
    <col min="3" max="3" width="13.140625" bestFit="1" customWidth="1"/>
    <col min="4" max="4" width="20.140625" bestFit="1" customWidth="1"/>
    <col min="5" max="5" width="14" bestFit="1" customWidth="1"/>
    <col min="6" max="6" width="29.7109375" bestFit="1" customWidth="1"/>
    <col min="7" max="7" width="16.140625" bestFit="1" customWidth="1"/>
    <col min="8" max="8" width="24.85546875" bestFit="1" customWidth="1"/>
    <col min="9" max="9" width="10.5703125" bestFit="1" customWidth="1"/>
    <col min="10" max="10" width="11.5703125" bestFit="1" customWidth="1"/>
    <col min="11" max="11" width="16.28515625" bestFit="1" customWidth="1"/>
    <col min="12" max="12" width="14" bestFit="1" customWidth="1"/>
    <col min="13" max="13" width="18.42578125" bestFit="1" customWidth="1"/>
    <col min="14" max="14" width="9.28515625" bestFit="1" customWidth="1"/>
    <col min="15" max="15" width="13.140625" bestFit="1" customWidth="1"/>
    <col min="16" max="16" width="20.85546875" bestFit="1" customWidth="1"/>
    <col min="17" max="17" width="20.5703125" bestFit="1" customWidth="1"/>
    <col min="18" max="18" width="13.140625" bestFit="1" customWidth="1"/>
    <col min="19" max="19" width="13.7109375" bestFit="1" customWidth="1"/>
    <col min="20" max="20" width="14.5703125" bestFit="1" customWidth="1"/>
    <col min="21" max="21" width="9.85546875" bestFit="1" customWidth="1"/>
    <col min="22" max="22" width="17.28515625" bestFit="1" customWidth="1"/>
    <col min="23" max="23" width="12.85546875" bestFit="1" customWidth="1"/>
    <col min="24" max="24" width="12.42578125" bestFit="1" customWidth="1"/>
    <col min="25" max="25" width="13.140625" bestFit="1" customWidth="1"/>
    <col min="26" max="26" width="7.140625" bestFit="1" customWidth="1"/>
    <col min="27" max="27" width="6.85546875" bestFit="1" customWidth="1"/>
    <col min="28" max="28" width="11.7109375" bestFit="1" customWidth="1"/>
    <col min="29" max="29" width="28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432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480</v>
      </c>
    </row>
    <row r="2" spans="1:29" x14ac:dyDescent="0.25">
      <c r="A2" s="1">
        <v>45658</v>
      </c>
      <c r="B2" s="1"/>
      <c r="C2" s="2" t="s">
        <v>27</v>
      </c>
      <c r="D2" s="2" t="s">
        <v>28</v>
      </c>
      <c r="E2" s="3" t="s">
        <v>68</v>
      </c>
      <c r="F2" s="2" t="s">
        <v>146</v>
      </c>
      <c r="G2" s="2" t="s">
        <v>196</v>
      </c>
      <c r="H2" s="2" t="s">
        <v>30</v>
      </c>
      <c r="I2" s="2" t="s">
        <v>31</v>
      </c>
      <c r="J2" s="2" t="s">
        <v>29</v>
      </c>
      <c r="K2" s="2" t="s">
        <v>32</v>
      </c>
      <c r="L2" s="1">
        <v>45661</v>
      </c>
      <c r="M2" s="2" t="s">
        <v>29</v>
      </c>
      <c r="N2">
        <v>84</v>
      </c>
      <c r="O2" t="s">
        <v>446</v>
      </c>
      <c r="P2">
        <v>0</v>
      </c>
      <c r="Q2">
        <v>94.5</v>
      </c>
      <c r="R2">
        <v>3923.89</v>
      </c>
      <c r="S2">
        <v>0</v>
      </c>
      <c r="T2">
        <v>0</v>
      </c>
      <c r="U2" s="2" t="s">
        <v>29</v>
      </c>
      <c r="V2" s="4"/>
      <c r="W2">
        <v>0</v>
      </c>
      <c r="X2" s="1"/>
      <c r="Y2">
        <v>0</v>
      </c>
      <c r="Z2">
        <v>1</v>
      </c>
      <c r="AA2">
        <v>2025</v>
      </c>
      <c r="AB2" t="s">
        <v>450</v>
      </c>
      <c r="AC2" s="2" t="s">
        <v>33</v>
      </c>
    </row>
    <row r="3" spans="1:29" x14ac:dyDescent="0.25">
      <c r="A3" s="1">
        <v>45659</v>
      </c>
      <c r="B3" s="1"/>
      <c r="C3" s="2" t="s">
        <v>27</v>
      </c>
      <c r="D3" s="2" t="s">
        <v>28</v>
      </c>
      <c r="E3" s="3" t="s">
        <v>69</v>
      </c>
      <c r="F3" s="2" t="s">
        <v>147</v>
      </c>
      <c r="G3" s="2" t="s">
        <v>197</v>
      </c>
      <c r="H3" s="2" t="s">
        <v>34</v>
      </c>
      <c r="I3" s="2" t="s">
        <v>31</v>
      </c>
      <c r="J3" s="2" t="s">
        <v>29</v>
      </c>
      <c r="K3" s="2" t="s">
        <v>32</v>
      </c>
      <c r="L3" s="1">
        <v>45662</v>
      </c>
      <c r="M3" s="2" t="s">
        <v>29</v>
      </c>
      <c r="N3">
        <v>84</v>
      </c>
      <c r="O3" t="s">
        <v>446</v>
      </c>
      <c r="P3">
        <v>230.93</v>
      </c>
      <c r="Q3">
        <v>313.75</v>
      </c>
      <c r="R3">
        <v>11293.05</v>
      </c>
      <c r="S3">
        <v>11193.05</v>
      </c>
      <c r="T3">
        <v>100</v>
      </c>
      <c r="U3" s="2" t="s">
        <v>29</v>
      </c>
      <c r="V3" s="4"/>
      <c r="W3">
        <v>0</v>
      </c>
      <c r="X3" s="1"/>
      <c r="Y3">
        <v>0</v>
      </c>
      <c r="Z3">
        <v>1</v>
      </c>
      <c r="AA3">
        <v>2025</v>
      </c>
      <c r="AB3" t="s">
        <v>450</v>
      </c>
      <c r="AC3" s="2" t="s">
        <v>35</v>
      </c>
    </row>
    <row r="4" spans="1:29" x14ac:dyDescent="0.25">
      <c r="A4" s="1">
        <v>45661</v>
      </c>
      <c r="B4" s="1"/>
      <c r="C4" s="2" t="s">
        <v>36</v>
      </c>
      <c r="D4" s="2" t="s">
        <v>28</v>
      </c>
      <c r="E4" s="3" t="s">
        <v>70</v>
      </c>
      <c r="F4" s="2" t="s">
        <v>148</v>
      </c>
      <c r="G4" s="2" t="s">
        <v>198</v>
      </c>
      <c r="H4" s="2" t="s">
        <v>37</v>
      </c>
      <c r="I4" s="2" t="s">
        <v>31</v>
      </c>
      <c r="J4" s="2" t="s">
        <v>29</v>
      </c>
      <c r="K4" s="2" t="s">
        <v>38</v>
      </c>
      <c r="L4" s="1">
        <v>45664</v>
      </c>
      <c r="M4" s="2" t="s">
        <v>29</v>
      </c>
      <c r="N4">
        <v>21</v>
      </c>
      <c r="O4" t="s">
        <v>447</v>
      </c>
      <c r="P4">
        <v>350</v>
      </c>
      <c r="Q4">
        <v>375.7</v>
      </c>
      <c r="R4">
        <v>6500</v>
      </c>
      <c r="S4">
        <v>0</v>
      </c>
      <c r="T4">
        <v>6500</v>
      </c>
      <c r="U4" s="2" t="s">
        <v>29</v>
      </c>
      <c r="V4" s="4"/>
      <c r="W4">
        <v>0</v>
      </c>
      <c r="X4" s="1"/>
      <c r="Y4">
        <v>0</v>
      </c>
      <c r="Z4">
        <v>1</v>
      </c>
      <c r="AA4">
        <v>2025</v>
      </c>
      <c r="AB4" t="s">
        <v>450</v>
      </c>
      <c r="AC4" s="2" t="s">
        <v>39</v>
      </c>
    </row>
    <row r="5" spans="1:29" x14ac:dyDescent="0.25">
      <c r="A5" s="1">
        <v>45663</v>
      </c>
      <c r="B5" s="1"/>
      <c r="C5" s="2" t="s">
        <v>40</v>
      </c>
      <c r="D5" s="2" t="s">
        <v>28</v>
      </c>
      <c r="E5" s="3" t="s">
        <v>72</v>
      </c>
      <c r="F5" s="2" t="s">
        <v>150</v>
      </c>
      <c r="G5" s="2" t="s">
        <v>199</v>
      </c>
      <c r="H5" s="2" t="s">
        <v>34</v>
      </c>
      <c r="I5" s="2" t="s">
        <v>31</v>
      </c>
      <c r="J5" s="2" t="s">
        <v>29</v>
      </c>
      <c r="K5" s="2" t="s">
        <v>32</v>
      </c>
      <c r="L5" s="1">
        <v>45666</v>
      </c>
      <c r="M5" s="2" t="s">
        <v>29</v>
      </c>
      <c r="N5">
        <v>84</v>
      </c>
      <c r="O5" t="s">
        <v>446</v>
      </c>
      <c r="P5">
        <v>316.58</v>
      </c>
      <c r="Q5">
        <v>371.46</v>
      </c>
      <c r="R5">
        <v>14815.31</v>
      </c>
      <c r="S5">
        <v>0</v>
      </c>
      <c r="T5">
        <v>14815.31</v>
      </c>
      <c r="U5" s="2" t="s">
        <v>29</v>
      </c>
      <c r="V5" s="4"/>
      <c r="W5">
        <v>0</v>
      </c>
      <c r="X5" s="1"/>
      <c r="Y5">
        <v>0</v>
      </c>
      <c r="Z5">
        <v>1</v>
      </c>
      <c r="AA5">
        <v>2025</v>
      </c>
      <c r="AB5" t="s">
        <v>450</v>
      </c>
      <c r="AC5" s="2" t="s">
        <v>35</v>
      </c>
    </row>
    <row r="6" spans="1:29" x14ac:dyDescent="0.25">
      <c r="A6" s="1">
        <v>45664</v>
      </c>
      <c r="B6" s="1"/>
      <c r="C6" s="2" t="s">
        <v>41</v>
      </c>
      <c r="D6" s="2" t="s">
        <v>28</v>
      </c>
      <c r="E6" s="3" t="s">
        <v>73</v>
      </c>
      <c r="F6" s="2" t="s">
        <v>151</v>
      </c>
      <c r="G6" s="2" t="s">
        <v>200</v>
      </c>
      <c r="H6" s="2" t="s">
        <v>37</v>
      </c>
      <c r="I6" s="2" t="s">
        <v>31</v>
      </c>
      <c r="J6" s="2" t="s">
        <v>29</v>
      </c>
      <c r="K6" s="2" t="s">
        <v>38</v>
      </c>
      <c r="L6" s="1">
        <v>45667</v>
      </c>
      <c r="M6" s="2" t="s">
        <v>29</v>
      </c>
      <c r="N6">
        <v>62</v>
      </c>
      <c r="O6" t="s">
        <v>446</v>
      </c>
      <c r="P6">
        <v>158</v>
      </c>
      <c r="Q6">
        <v>173.43</v>
      </c>
      <c r="R6">
        <v>7100</v>
      </c>
      <c r="S6">
        <v>0</v>
      </c>
      <c r="T6">
        <v>7100</v>
      </c>
      <c r="U6" s="2" t="s">
        <v>29</v>
      </c>
      <c r="V6" s="4"/>
      <c r="W6">
        <v>0</v>
      </c>
      <c r="X6" s="1"/>
      <c r="Y6">
        <v>0</v>
      </c>
      <c r="Z6">
        <v>1</v>
      </c>
      <c r="AA6">
        <v>2025</v>
      </c>
      <c r="AB6" t="s">
        <v>450</v>
      </c>
      <c r="AC6" s="2" t="s">
        <v>39</v>
      </c>
    </row>
    <row r="7" spans="1:29" x14ac:dyDescent="0.25">
      <c r="A7" s="1">
        <v>45666</v>
      </c>
      <c r="B7" s="1"/>
      <c r="C7" s="2" t="s">
        <v>42</v>
      </c>
      <c r="D7" s="2" t="s">
        <v>28</v>
      </c>
      <c r="E7" s="3" t="s">
        <v>74</v>
      </c>
      <c r="F7" s="2" t="s">
        <v>152</v>
      </c>
      <c r="G7" s="2" t="s">
        <v>201</v>
      </c>
      <c r="H7" s="2" t="s">
        <v>37</v>
      </c>
      <c r="I7" s="2" t="s">
        <v>31</v>
      </c>
      <c r="J7" s="2" t="s">
        <v>29</v>
      </c>
      <c r="K7" s="2" t="s">
        <v>38</v>
      </c>
      <c r="L7" s="1">
        <v>45669</v>
      </c>
      <c r="M7" s="2" t="s">
        <v>29</v>
      </c>
      <c r="N7">
        <v>0</v>
      </c>
      <c r="O7" t="s">
        <v>447</v>
      </c>
      <c r="P7">
        <v>520</v>
      </c>
      <c r="Q7">
        <v>579.07000000000005</v>
      </c>
      <c r="R7">
        <v>14700</v>
      </c>
      <c r="S7">
        <v>0</v>
      </c>
      <c r="T7">
        <v>14700</v>
      </c>
      <c r="U7" s="2" t="s">
        <v>29</v>
      </c>
      <c r="V7" s="4"/>
      <c r="W7">
        <v>0</v>
      </c>
      <c r="X7" s="1"/>
      <c r="Y7">
        <v>0</v>
      </c>
      <c r="Z7">
        <v>1</v>
      </c>
      <c r="AA7">
        <v>2025</v>
      </c>
      <c r="AB7" t="s">
        <v>450</v>
      </c>
      <c r="AC7" s="2" t="s">
        <v>39</v>
      </c>
    </row>
    <row r="8" spans="1:29" x14ac:dyDescent="0.25">
      <c r="A8" s="1">
        <v>45668</v>
      </c>
      <c r="B8" s="1"/>
      <c r="C8" s="2" t="s">
        <v>40</v>
      </c>
      <c r="D8" s="2" t="s">
        <v>28</v>
      </c>
      <c r="E8" s="3" t="s">
        <v>75</v>
      </c>
      <c r="F8" s="2" t="s">
        <v>153</v>
      </c>
      <c r="G8" s="2" t="s">
        <v>202</v>
      </c>
      <c r="H8" s="2" t="s">
        <v>43</v>
      </c>
      <c r="I8" s="2" t="s">
        <v>31</v>
      </c>
      <c r="J8" s="2" t="s">
        <v>29</v>
      </c>
      <c r="K8" s="2" t="s">
        <v>32</v>
      </c>
      <c r="L8" s="1">
        <v>45671</v>
      </c>
      <c r="M8" s="2" t="s">
        <v>29</v>
      </c>
      <c r="N8">
        <v>84</v>
      </c>
      <c r="O8" t="s">
        <v>446</v>
      </c>
      <c r="P8">
        <v>0</v>
      </c>
      <c r="Q8">
        <v>299.74</v>
      </c>
      <c r="R8">
        <v>15296.75</v>
      </c>
      <c r="S8">
        <v>14996.75</v>
      </c>
      <c r="T8">
        <v>300</v>
      </c>
      <c r="U8" s="2" t="s">
        <v>29</v>
      </c>
      <c r="V8" s="4"/>
      <c r="W8">
        <v>0</v>
      </c>
      <c r="X8" s="1"/>
      <c r="Y8">
        <v>0</v>
      </c>
      <c r="Z8">
        <v>1</v>
      </c>
      <c r="AA8">
        <v>2025</v>
      </c>
      <c r="AB8" t="s">
        <v>450</v>
      </c>
      <c r="AC8" s="2" t="s">
        <v>35</v>
      </c>
    </row>
    <row r="9" spans="1:29" x14ac:dyDescent="0.25">
      <c r="A9" s="1">
        <v>45669</v>
      </c>
      <c r="B9" s="1"/>
      <c r="C9" s="2" t="s">
        <v>44</v>
      </c>
      <c r="D9" s="2" t="s">
        <v>28</v>
      </c>
      <c r="E9" s="3" t="s">
        <v>76</v>
      </c>
      <c r="F9" s="2" t="s">
        <v>154</v>
      </c>
      <c r="G9" s="2" t="s">
        <v>203</v>
      </c>
      <c r="H9" s="2" t="s">
        <v>37</v>
      </c>
      <c r="I9" s="2" t="s">
        <v>31</v>
      </c>
      <c r="J9" s="2" t="s">
        <v>29</v>
      </c>
      <c r="K9" s="2" t="s">
        <v>32</v>
      </c>
      <c r="L9" s="1">
        <v>45672</v>
      </c>
      <c r="M9" s="2" t="s">
        <v>29</v>
      </c>
      <c r="N9">
        <v>0</v>
      </c>
      <c r="O9" t="s">
        <v>447</v>
      </c>
      <c r="P9">
        <v>175</v>
      </c>
      <c r="Q9">
        <v>200</v>
      </c>
      <c r="R9">
        <v>6600</v>
      </c>
      <c r="S9">
        <v>0</v>
      </c>
      <c r="T9">
        <v>6600</v>
      </c>
      <c r="U9" s="2" t="s">
        <v>29</v>
      </c>
      <c r="V9" s="4"/>
      <c r="W9">
        <v>0</v>
      </c>
      <c r="X9" s="1"/>
      <c r="Y9">
        <v>0</v>
      </c>
      <c r="Z9">
        <v>1</v>
      </c>
      <c r="AA9">
        <v>2025</v>
      </c>
      <c r="AB9" t="s">
        <v>450</v>
      </c>
      <c r="AC9" s="2" t="s">
        <v>39</v>
      </c>
    </row>
    <row r="10" spans="1:29" x14ac:dyDescent="0.25">
      <c r="A10" s="1">
        <v>45671</v>
      </c>
      <c r="B10" s="1"/>
      <c r="C10" s="2" t="s">
        <v>42</v>
      </c>
      <c r="D10" s="2" t="s">
        <v>28</v>
      </c>
      <c r="E10" s="3" t="s">
        <v>77</v>
      </c>
      <c r="F10" s="2" t="s">
        <v>155</v>
      </c>
      <c r="G10" s="2" t="s">
        <v>204</v>
      </c>
      <c r="H10" s="2" t="s">
        <v>37</v>
      </c>
      <c r="I10" s="2" t="s">
        <v>31</v>
      </c>
      <c r="J10" s="2" t="s">
        <v>29</v>
      </c>
      <c r="K10" s="2" t="s">
        <v>32</v>
      </c>
      <c r="L10" s="1">
        <v>45674</v>
      </c>
      <c r="M10" s="2" t="s">
        <v>29</v>
      </c>
      <c r="N10">
        <v>0</v>
      </c>
      <c r="O10" t="s">
        <v>447</v>
      </c>
      <c r="P10">
        <v>265</v>
      </c>
      <c r="Q10">
        <v>303.41000000000003</v>
      </c>
      <c r="R10">
        <v>9000</v>
      </c>
      <c r="S10">
        <v>0</v>
      </c>
      <c r="T10">
        <v>9000</v>
      </c>
      <c r="U10" s="2" t="s">
        <v>29</v>
      </c>
      <c r="V10" s="4"/>
      <c r="W10">
        <v>0</v>
      </c>
      <c r="X10" s="1"/>
      <c r="Y10">
        <v>0</v>
      </c>
      <c r="Z10">
        <v>1</v>
      </c>
      <c r="AA10">
        <v>2025</v>
      </c>
      <c r="AB10" t="s">
        <v>450</v>
      </c>
      <c r="AC10" s="2" t="s">
        <v>39</v>
      </c>
    </row>
    <row r="11" spans="1:29" x14ac:dyDescent="0.25">
      <c r="A11" s="1">
        <v>45673</v>
      </c>
      <c r="B11" s="1"/>
      <c r="C11" s="2" t="s">
        <v>42</v>
      </c>
      <c r="D11" s="2" t="s">
        <v>28</v>
      </c>
      <c r="E11" s="3" t="s">
        <v>78</v>
      </c>
      <c r="F11" s="2" t="s">
        <v>156</v>
      </c>
      <c r="G11" s="2" t="s">
        <v>205</v>
      </c>
      <c r="H11" s="2" t="s">
        <v>45</v>
      </c>
      <c r="I11" s="2" t="s">
        <v>31</v>
      </c>
      <c r="J11" s="2" t="s">
        <v>29</v>
      </c>
      <c r="K11" s="2" t="s">
        <v>38</v>
      </c>
      <c r="L11" s="1">
        <v>45676</v>
      </c>
      <c r="M11" s="2" t="s">
        <v>29</v>
      </c>
      <c r="N11">
        <v>84</v>
      </c>
      <c r="O11" t="s">
        <v>446</v>
      </c>
      <c r="P11">
        <v>758.01</v>
      </c>
      <c r="Q11">
        <v>792.96</v>
      </c>
      <c r="R11">
        <v>0</v>
      </c>
      <c r="S11">
        <v>0</v>
      </c>
      <c r="T11">
        <v>0</v>
      </c>
      <c r="U11" s="2" t="s">
        <v>29</v>
      </c>
      <c r="V11" s="4"/>
      <c r="W11">
        <v>0</v>
      </c>
      <c r="X11" s="1"/>
      <c r="Y11">
        <v>0</v>
      </c>
      <c r="Z11">
        <v>1</v>
      </c>
      <c r="AA11">
        <v>2025</v>
      </c>
      <c r="AB11" t="s">
        <v>450</v>
      </c>
      <c r="AC11" s="2" t="s">
        <v>46</v>
      </c>
    </row>
    <row r="12" spans="1:29" x14ac:dyDescent="0.25">
      <c r="A12" s="1">
        <v>45674</v>
      </c>
      <c r="B12" s="1"/>
      <c r="C12" s="2" t="s">
        <v>42</v>
      </c>
      <c r="D12" s="2" t="s">
        <v>28</v>
      </c>
      <c r="E12" s="3" t="s">
        <v>79</v>
      </c>
      <c r="F12" s="2" t="s">
        <v>157</v>
      </c>
      <c r="G12" s="2" t="s">
        <v>206</v>
      </c>
      <c r="H12" s="2" t="s">
        <v>37</v>
      </c>
      <c r="I12" s="2" t="s">
        <v>31</v>
      </c>
      <c r="J12" s="2" t="s">
        <v>29</v>
      </c>
      <c r="K12" s="2" t="s">
        <v>38</v>
      </c>
      <c r="L12" s="1">
        <v>45677</v>
      </c>
      <c r="M12" s="2" t="s">
        <v>29</v>
      </c>
      <c r="N12">
        <v>59</v>
      </c>
      <c r="O12" t="s">
        <v>448</v>
      </c>
      <c r="P12">
        <v>758.01</v>
      </c>
      <c r="Q12">
        <v>792.96</v>
      </c>
      <c r="R12">
        <v>31502.18</v>
      </c>
      <c r="S12">
        <v>0</v>
      </c>
      <c r="T12">
        <v>31502.18</v>
      </c>
      <c r="U12" s="2" t="s">
        <v>29</v>
      </c>
      <c r="V12" s="4"/>
      <c r="W12">
        <v>0</v>
      </c>
      <c r="X12" s="1"/>
      <c r="Y12">
        <v>0</v>
      </c>
      <c r="Z12">
        <v>1</v>
      </c>
      <c r="AA12">
        <v>2025</v>
      </c>
      <c r="AB12" t="s">
        <v>450</v>
      </c>
      <c r="AC12" s="2" t="s">
        <v>39</v>
      </c>
    </row>
    <row r="13" spans="1:29" x14ac:dyDescent="0.25">
      <c r="A13" s="1">
        <v>45676</v>
      </c>
      <c r="B13" s="1"/>
      <c r="C13" s="2" t="s">
        <v>41</v>
      </c>
      <c r="D13" s="2" t="s">
        <v>28</v>
      </c>
      <c r="E13" s="3" t="s">
        <v>80</v>
      </c>
      <c r="F13" s="2" t="s">
        <v>158</v>
      </c>
      <c r="G13" s="2" t="s">
        <v>207</v>
      </c>
      <c r="H13" s="2" t="s">
        <v>45</v>
      </c>
      <c r="I13" s="2" t="s">
        <v>31</v>
      </c>
      <c r="J13" s="2" t="s">
        <v>29</v>
      </c>
      <c r="K13" s="2" t="s">
        <v>38</v>
      </c>
      <c r="L13" s="1">
        <v>45679</v>
      </c>
      <c r="M13" s="2" t="s">
        <v>29</v>
      </c>
      <c r="N13">
        <v>84</v>
      </c>
      <c r="O13" t="s">
        <v>446</v>
      </c>
      <c r="P13">
        <v>170.28</v>
      </c>
      <c r="Q13">
        <v>274.55</v>
      </c>
      <c r="R13">
        <v>0</v>
      </c>
      <c r="S13">
        <v>8495.84</v>
      </c>
      <c r="T13">
        <v>-8495.84</v>
      </c>
      <c r="U13" s="2" t="s">
        <v>29</v>
      </c>
      <c r="V13" s="4"/>
      <c r="W13">
        <v>0</v>
      </c>
      <c r="X13" s="1"/>
      <c r="Y13">
        <v>0</v>
      </c>
      <c r="Z13">
        <v>1</v>
      </c>
      <c r="AA13">
        <v>2025</v>
      </c>
      <c r="AB13" t="s">
        <v>450</v>
      </c>
      <c r="AC13" s="2" t="s">
        <v>46</v>
      </c>
    </row>
    <row r="14" spans="1:29" x14ac:dyDescent="0.25">
      <c r="A14" s="1">
        <v>45678</v>
      </c>
      <c r="B14" s="1"/>
      <c r="C14" s="2" t="s">
        <v>41</v>
      </c>
      <c r="D14" s="2" t="s">
        <v>28</v>
      </c>
      <c r="E14" s="3" t="s">
        <v>79</v>
      </c>
      <c r="F14" s="2" t="s">
        <v>157</v>
      </c>
      <c r="G14" s="2" t="s">
        <v>208</v>
      </c>
      <c r="H14" s="2" t="s">
        <v>37</v>
      </c>
      <c r="I14" s="2" t="s">
        <v>31</v>
      </c>
      <c r="J14" s="2" t="s">
        <v>29</v>
      </c>
      <c r="K14" s="2" t="s">
        <v>38</v>
      </c>
      <c r="L14" s="1">
        <v>45681</v>
      </c>
      <c r="M14" s="2" t="s">
        <v>29</v>
      </c>
      <c r="N14">
        <v>46</v>
      </c>
      <c r="O14" t="s">
        <v>448</v>
      </c>
      <c r="P14">
        <v>248.99</v>
      </c>
      <c r="Q14">
        <v>274.55</v>
      </c>
      <c r="R14">
        <v>8495.84</v>
      </c>
      <c r="S14">
        <v>0</v>
      </c>
      <c r="T14">
        <v>8495.84</v>
      </c>
      <c r="U14" s="2" t="s">
        <v>29</v>
      </c>
      <c r="V14" s="4"/>
      <c r="W14">
        <v>0</v>
      </c>
      <c r="X14" s="1"/>
      <c r="Y14">
        <v>0</v>
      </c>
      <c r="Z14">
        <v>1</v>
      </c>
      <c r="AA14">
        <v>2025</v>
      </c>
      <c r="AB14" t="s">
        <v>450</v>
      </c>
      <c r="AC14" s="2" t="s">
        <v>39</v>
      </c>
    </row>
    <row r="15" spans="1:29" x14ac:dyDescent="0.25">
      <c r="A15" s="1">
        <v>45679</v>
      </c>
      <c r="B15" s="1"/>
      <c r="C15" s="2" t="s">
        <v>40</v>
      </c>
      <c r="D15" s="2" t="s">
        <v>28</v>
      </c>
      <c r="E15" s="3" t="s">
        <v>74</v>
      </c>
      <c r="F15" s="2" t="s">
        <v>152</v>
      </c>
      <c r="G15" s="2" t="s">
        <v>209</v>
      </c>
      <c r="H15" s="2" t="s">
        <v>37</v>
      </c>
      <c r="I15" s="2" t="s">
        <v>47</v>
      </c>
      <c r="J15" s="2" t="s">
        <v>29</v>
      </c>
      <c r="K15" s="2" t="s">
        <v>32</v>
      </c>
      <c r="L15" s="1">
        <v>45682</v>
      </c>
      <c r="M15" s="2" t="s">
        <v>29</v>
      </c>
      <c r="N15">
        <v>0</v>
      </c>
      <c r="O15" t="s">
        <v>447</v>
      </c>
      <c r="P15">
        <v>0</v>
      </c>
      <c r="Q15">
        <v>335.43</v>
      </c>
      <c r="R15">
        <v>10700</v>
      </c>
      <c r="S15">
        <v>0</v>
      </c>
      <c r="T15">
        <v>10700</v>
      </c>
      <c r="U15" s="2" t="s">
        <v>29</v>
      </c>
      <c r="V15" s="4"/>
      <c r="W15">
        <v>0</v>
      </c>
      <c r="X15" s="1"/>
      <c r="Y15">
        <v>0</v>
      </c>
      <c r="Z15">
        <v>1</v>
      </c>
      <c r="AA15">
        <v>2025</v>
      </c>
      <c r="AB15" t="s">
        <v>450</v>
      </c>
      <c r="AC15" s="2" t="s">
        <v>39</v>
      </c>
    </row>
    <row r="16" spans="1:29" x14ac:dyDescent="0.25">
      <c r="A16" s="1">
        <v>45681</v>
      </c>
      <c r="B16" s="1"/>
      <c r="C16" s="2" t="s">
        <v>40</v>
      </c>
      <c r="D16" s="2" t="s">
        <v>28</v>
      </c>
      <c r="E16" s="3" t="s">
        <v>81</v>
      </c>
      <c r="F16" s="2" t="s">
        <v>159</v>
      </c>
      <c r="G16" s="2" t="s">
        <v>210</v>
      </c>
      <c r="H16" s="2" t="s">
        <v>37</v>
      </c>
      <c r="I16" s="2" t="s">
        <v>47</v>
      </c>
      <c r="J16" s="2" t="s">
        <v>29</v>
      </c>
      <c r="K16" s="2" t="s">
        <v>32</v>
      </c>
      <c r="L16" s="1">
        <v>45684</v>
      </c>
      <c r="M16" s="2" t="s">
        <v>29</v>
      </c>
      <c r="N16">
        <v>0</v>
      </c>
      <c r="O16" t="s">
        <v>447</v>
      </c>
      <c r="P16">
        <v>0</v>
      </c>
      <c r="Q16">
        <v>132.79</v>
      </c>
      <c r="R16">
        <v>4250</v>
      </c>
      <c r="S16">
        <v>0</v>
      </c>
      <c r="T16">
        <v>4250</v>
      </c>
      <c r="U16" s="2" t="s">
        <v>29</v>
      </c>
      <c r="V16" s="4"/>
      <c r="W16">
        <v>0</v>
      </c>
      <c r="X16" s="1"/>
      <c r="Y16">
        <v>0</v>
      </c>
      <c r="Z16">
        <v>1</v>
      </c>
      <c r="AA16">
        <v>2025</v>
      </c>
      <c r="AB16" t="s">
        <v>450</v>
      </c>
      <c r="AC16" s="2" t="s">
        <v>39</v>
      </c>
    </row>
    <row r="17" spans="1:29" x14ac:dyDescent="0.25">
      <c r="A17" s="1">
        <v>45683</v>
      </c>
      <c r="B17" s="1"/>
      <c r="C17" s="2" t="s">
        <v>41</v>
      </c>
      <c r="D17" s="2" t="s">
        <v>28</v>
      </c>
      <c r="E17" s="3" t="s">
        <v>68</v>
      </c>
      <c r="F17" s="2" t="s">
        <v>146</v>
      </c>
      <c r="G17" s="2" t="s">
        <v>211</v>
      </c>
      <c r="H17" s="2" t="s">
        <v>45</v>
      </c>
      <c r="I17" s="2" t="s">
        <v>47</v>
      </c>
      <c r="J17" s="2" t="s">
        <v>29</v>
      </c>
      <c r="K17" s="2" t="s">
        <v>32</v>
      </c>
      <c r="L17" s="1">
        <v>45686</v>
      </c>
      <c r="M17" s="2" t="s">
        <v>29</v>
      </c>
      <c r="N17">
        <v>84</v>
      </c>
      <c r="O17" t="s">
        <v>446</v>
      </c>
      <c r="P17">
        <v>0</v>
      </c>
      <c r="Q17">
        <v>307.49</v>
      </c>
      <c r="R17">
        <v>0</v>
      </c>
      <c r="S17">
        <v>0</v>
      </c>
      <c r="T17">
        <v>0</v>
      </c>
      <c r="U17" s="2" t="s">
        <v>29</v>
      </c>
      <c r="V17" s="4"/>
      <c r="W17">
        <v>0</v>
      </c>
      <c r="X17" s="1"/>
      <c r="Y17">
        <v>0</v>
      </c>
      <c r="Z17">
        <v>1</v>
      </c>
      <c r="AA17">
        <v>2025</v>
      </c>
      <c r="AB17" t="s">
        <v>450</v>
      </c>
      <c r="AC17" s="2" t="s">
        <v>46</v>
      </c>
    </row>
    <row r="18" spans="1:29" x14ac:dyDescent="0.25">
      <c r="A18" s="1">
        <v>45684</v>
      </c>
      <c r="B18" s="1"/>
      <c r="C18" s="2" t="s">
        <v>41</v>
      </c>
      <c r="D18" s="2" t="s">
        <v>28</v>
      </c>
      <c r="E18" s="3" t="s">
        <v>82</v>
      </c>
      <c r="F18" s="2" t="s">
        <v>160</v>
      </c>
      <c r="G18" s="2" t="s">
        <v>212</v>
      </c>
      <c r="H18" s="2" t="s">
        <v>37</v>
      </c>
      <c r="I18" s="2" t="s">
        <v>47</v>
      </c>
      <c r="J18" s="2" t="s">
        <v>29</v>
      </c>
      <c r="K18" s="2" t="s">
        <v>32</v>
      </c>
      <c r="L18" s="1">
        <v>45687</v>
      </c>
      <c r="M18" s="2" t="s">
        <v>29</v>
      </c>
      <c r="N18">
        <v>59</v>
      </c>
      <c r="O18" t="s">
        <v>448</v>
      </c>
      <c r="P18">
        <v>0</v>
      </c>
      <c r="Q18">
        <v>333.85</v>
      </c>
      <c r="R18">
        <v>13850</v>
      </c>
      <c r="S18">
        <v>0</v>
      </c>
      <c r="T18">
        <v>13850</v>
      </c>
      <c r="U18" s="2" t="s">
        <v>29</v>
      </c>
      <c r="V18" s="4"/>
      <c r="W18">
        <v>0</v>
      </c>
      <c r="X18" s="1"/>
      <c r="Y18">
        <v>0</v>
      </c>
      <c r="Z18">
        <v>1</v>
      </c>
      <c r="AA18">
        <v>2025</v>
      </c>
      <c r="AB18" t="s">
        <v>450</v>
      </c>
      <c r="AC18" s="2" t="s">
        <v>39</v>
      </c>
    </row>
    <row r="19" spans="1:29" x14ac:dyDescent="0.25">
      <c r="A19" s="1">
        <v>45686</v>
      </c>
      <c r="B19" s="1"/>
      <c r="C19" s="2" t="s">
        <v>41</v>
      </c>
      <c r="D19" s="2" t="s">
        <v>28</v>
      </c>
      <c r="E19" s="3" t="s">
        <v>83</v>
      </c>
      <c r="F19" s="2" t="s">
        <v>161</v>
      </c>
      <c r="G19" s="2" t="s">
        <v>213</v>
      </c>
      <c r="H19" s="2" t="s">
        <v>45</v>
      </c>
      <c r="I19" s="2" t="s">
        <v>47</v>
      </c>
      <c r="J19" s="2" t="s">
        <v>29</v>
      </c>
      <c r="K19" s="2" t="s">
        <v>32</v>
      </c>
      <c r="L19" s="1">
        <v>45689</v>
      </c>
      <c r="M19" s="2" t="s">
        <v>29</v>
      </c>
      <c r="N19">
        <v>84</v>
      </c>
      <c r="O19" t="s">
        <v>446</v>
      </c>
      <c r="P19">
        <v>0</v>
      </c>
      <c r="Q19">
        <v>240.46</v>
      </c>
      <c r="R19">
        <v>0</v>
      </c>
      <c r="S19">
        <v>0</v>
      </c>
      <c r="T19">
        <v>0</v>
      </c>
      <c r="U19" s="2" t="s">
        <v>29</v>
      </c>
      <c r="V19" s="4"/>
      <c r="W19">
        <v>0</v>
      </c>
      <c r="X19" s="1"/>
      <c r="Y19">
        <v>0</v>
      </c>
      <c r="Z19">
        <v>1</v>
      </c>
      <c r="AA19">
        <v>2025</v>
      </c>
      <c r="AB19" t="s">
        <v>450</v>
      </c>
      <c r="AC19" s="2" t="s">
        <v>46</v>
      </c>
    </row>
    <row r="20" spans="1:29" x14ac:dyDescent="0.25">
      <c r="A20" s="1">
        <v>45688</v>
      </c>
      <c r="B20" s="1"/>
      <c r="C20" s="2" t="s">
        <v>41</v>
      </c>
      <c r="D20" s="2" t="s">
        <v>28</v>
      </c>
      <c r="E20" s="3" t="s">
        <v>84</v>
      </c>
      <c r="F20" s="2" t="s">
        <v>162</v>
      </c>
      <c r="G20" s="2" t="s">
        <v>214</v>
      </c>
      <c r="H20" s="2" t="s">
        <v>37</v>
      </c>
      <c r="I20" s="2" t="s">
        <v>47</v>
      </c>
      <c r="J20" s="2" t="s">
        <v>29</v>
      </c>
      <c r="K20" s="2" t="s">
        <v>32</v>
      </c>
      <c r="L20" s="1">
        <v>45691</v>
      </c>
      <c r="M20" s="2" t="s">
        <v>29</v>
      </c>
      <c r="N20">
        <v>59</v>
      </c>
      <c r="O20" t="s">
        <v>448</v>
      </c>
      <c r="P20">
        <v>0</v>
      </c>
      <c r="Q20">
        <v>265.14999999999998</v>
      </c>
      <c r="R20">
        <v>11000</v>
      </c>
      <c r="S20">
        <v>0</v>
      </c>
      <c r="T20">
        <v>11000</v>
      </c>
      <c r="U20" s="2" t="s">
        <v>29</v>
      </c>
      <c r="V20" s="4"/>
      <c r="W20">
        <v>0</v>
      </c>
      <c r="X20" s="1"/>
      <c r="Y20">
        <v>0</v>
      </c>
      <c r="Z20">
        <v>1</v>
      </c>
      <c r="AA20">
        <v>2025</v>
      </c>
      <c r="AB20" t="s">
        <v>450</v>
      </c>
      <c r="AC20" s="2" t="s">
        <v>39</v>
      </c>
    </row>
    <row r="21" spans="1:29" x14ac:dyDescent="0.25">
      <c r="A21" s="1">
        <v>45689</v>
      </c>
      <c r="B21" s="1"/>
      <c r="C21" s="2" t="s">
        <v>41</v>
      </c>
      <c r="D21" s="2" t="s">
        <v>28</v>
      </c>
      <c r="E21" s="3" t="s">
        <v>78</v>
      </c>
      <c r="F21" s="2" t="s">
        <v>156</v>
      </c>
      <c r="G21" s="2" t="s">
        <v>215</v>
      </c>
      <c r="H21" s="2" t="s">
        <v>45</v>
      </c>
      <c r="I21" s="2" t="s">
        <v>47</v>
      </c>
      <c r="J21" s="2" t="s">
        <v>29</v>
      </c>
      <c r="K21" s="2" t="s">
        <v>32</v>
      </c>
      <c r="L21" s="1">
        <v>45692</v>
      </c>
      <c r="M21" s="2" t="s">
        <v>29</v>
      </c>
      <c r="N21">
        <v>84</v>
      </c>
      <c r="O21" t="s">
        <v>446</v>
      </c>
      <c r="P21">
        <v>0</v>
      </c>
      <c r="Q21">
        <v>48.21</v>
      </c>
      <c r="R21">
        <v>0</v>
      </c>
      <c r="S21">
        <v>0</v>
      </c>
      <c r="T21">
        <v>0</v>
      </c>
      <c r="U21" s="2" t="s">
        <v>29</v>
      </c>
      <c r="V21" s="4"/>
      <c r="W21">
        <v>0</v>
      </c>
      <c r="X21" s="1"/>
      <c r="Y21">
        <v>0</v>
      </c>
      <c r="Z21">
        <v>2</v>
      </c>
      <c r="AA21">
        <v>2025</v>
      </c>
      <c r="AB21" t="s">
        <v>451</v>
      </c>
      <c r="AC21" s="2" t="s">
        <v>46</v>
      </c>
    </row>
    <row r="22" spans="1:29" x14ac:dyDescent="0.25">
      <c r="A22" s="1">
        <v>45691</v>
      </c>
      <c r="B22" s="1"/>
      <c r="C22" s="2" t="s">
        <v>41</v>
      </c>
      <c r="D22" s="2" t="s">
        <v>28</v>
      </c>
      <c r="E22" s="3" t="s">
        <v>73</v>
      </c>
      <c r="F22" s="2" t="s">
        <v>151</v>
      </c>
      <c r="G22" s="2" t="s">
        <v>216</v>
      </c>
      <c r="H22" s="2" t="s">
        <v>37</v>
      </c>
      <c r="I22" s="2" t="s">
        <v>47</v>
      </c>
      <c r="J22" s="2" t="s">
        <v>29</v>
      </c>
      <c r="K22" s="2" t="s">
        <v>32</v>
      </c>
      <c r="L22" s="1">
        <v>45694</v>
      </c>
      <c r="M22" s="2" t="s">
        <v>29</v>
      </c>
      <c r="N22">
        <v>59</v>
      </c>
      <c r="O22" t="s">
        <v>448</v>
      </c>
      <c r="P22">
        <v>0</v>
      </c>
      <c r="Q22">
        <v>48.21</v>
      </c>
      <c r="R22">
        <v>2000</v>
      </c>
      <c r="S22">
        <v>0</v>
      </c>
      <c r="T22">
        <v>2000</v>
      </c>
      <c r="U22" s="2" t="s">
        <v>29</v>
      </c>
      <c r="V22" s="4"/>
      <c r="W22">
        <v>0</v>
      </c>
      <c r="X22" s="1"/>
      <c r="Y22">
        <v>0</v>
      </c>
      <c r="Z22">
        <v>2</v>
      </c>
      <c r="AA22">
        <v>2025</v>
      </c>
      <c r="AB22" t="s">
        <v>451</v>
      </c>
      <c r="AC22" s="2" t="s">
        <v>39</v>
      </c>
    </row>
    <row r="23" spans="1:29" x14ac:dyDescent="0.25">
      <c r="A23" s="1">
        <v>45692</v>
      </c>
      <c r="B23" s="1"/>
      <c r="C23" s="2" t="s">
        <v>41</v>
      </c>
      <c r="D23" s="2" t="s">
        <v>28</v>
      </c>
      <c r="E23" s="3" t="s">
        <v>85</v>
      </c>
      <c r="F23" s="2" t="s">
        <v>163</v>
      </c>
      <c r="G23" s="2" t="s">
        <v>217</v>
      </c>
      <c r="H23" s="2" t="s">
        <v>37</v>
      </c>
      <c r="I23" s="2" t="s">
        <v>31</v>
      </c>
      <c r="J23" s="2" t="s">
        <v>29</v>
      </c>
      <c r="K23" s="2" t="s">
        <v>38</v>
      </c>
      <c r="L23" s="1">
        <v>45695</v>
      </c>
      <c r="M23" s="2" t="s">
        <v>29</v>
      </c>
      <c r="N23">
        <v>57</v>
      </c>
      <c r="O23" t="s">
        <v>448</v>
      </c>
      <c r="P23">
        <v>839.59</v>
      </c>
      <c r="Q23">
        <v>853.2</v>
      </c>
      <c r="R23">
        <v>35080.720000000001</v>
      </c>
      <c r="S23">
        <v>0</v>
      </c>
      <c r="T23">
        <v>35080.720000000001</v>
      </c>
      <c r="U23" s="2" t="s">
        <v>29</v>
      </c>
      <c r="V23" s="4"/>
      <c r="W23">
        <v>0</v>
      </c>
      <c r="X23" s="1"/>
      <c r="Y23">
        <v>0</v>
      </c>
      <c r="Z23">
        <v>2</v>
      </c>
      <c r="AA23">
        <v>2025</v>
      </c>
      <c r="AB23" t="s">
        <v>451</v>
      </c>
      <c r="AC23" s="2" t="s">
        <v>39</v>
      </c>
    </row>
    <row r="24" spans="1:29" x14ac:dyDescent="0.25">
      <c r="A24" s="1">
        <v>45694</v>
      </c>
      <c r="B24" s="1"/>
      <c r="C24" s="2" t="s">
        <v>36</v>
      </c>
      <c r="D24" s="2" t="s">
        <v>28</v>
      </c>
      <c r="E24" s="3" t="s">
        <v>86</v>
      </c>
      <c r="F24" s="2" t="s">
        <v>164</v>
      </c>
      <c r="G24" s="2" t="s">
        <v>218</v>
      </c>
      <c r="H24" s="2" t="s">
        <v>37</v>
      </c>
      <c r="I24" s="2" t="s">
        <v>31</v>
      </c>
      <c r="J24" s="2" t="s">
        <v>29</v>
      </c>
      <c r="K24" s="2" t="s">
        <v>38</v>
      </c>
      <c r="L24" s="1">
        <v>45697</v>
      </c>
      <c r="M24" s="2" t="s">
        <v>29</v>
      </c>
      <c r="N24">
        <v>24</v>
      </c>
      <c r="O24" t="s">
        <v>448</v>
      </c>
      <c r="P24">
        <v>762.95</v>
      </c>
      <c r="Q24">
        <v>816.63</v>
      </c>
      <c r="R24">
        <v>15900</v>
      </c>
      <c r="S24">
        <v>0</v>
      </c>
      <c r="T24">
        <v>15900</v>
      </c>
      <c r="U24" s="2" t="s">
        <v>29</v>
      </c>
      <c r="V24" s="4"/>
      <c r="W24">
        <v>0</v>
      </c>
      <c r="X24" s="1"/>
      <c r="Y24">
        <v>0</v>
      </c>
      <c r="Z24">
        <v>2</v>
      </c>
      <c r="AA24">
        <v>2025</v>
      </c>
      <c r="AB24" t="s">
        <v>451</v>
      </c>
      <c r="AC24" s="2" t="s">
        <v>39</v>
      </c>
    </row>
    <row r="25" spans="1:29" x14ac:dyDescent="0.25">
      <c r="A25" s="1">
        <v>45695</v>
      </c>
      <c r="B25" s="1"/>
      <c r="C25" s="2" t="s">
        <v>40</v>
      </c>
      <c r="D25" s="2" t="s">
        <v>28</v>
      </c>
      <c r="E25" s="3" t="s">
        <v>87</v>
      </c>
      <c r="F25" s="2" t="s">
        <v>165</v>
      </c>
      <c r="G25" s="2" t="s">
        <v>219</v>
      </c>
      <c r="H25" s="2" t="s">
        <v>37</v>
      </c>
      <c r="I25" s="2" t="s">
        <v>48</v>
      </c>
      <c r="J25" s="2" t="s">
        <v>29</v>
      </c>
      <c r="K25" s="2" t="s">
        <v>49</v>
      </c>
      <c r="L25" s="1">
        <v>45698</v>
      </c>
      <c r="M25" s="2" t="s">
        <v>29</v>
      </c>
      <c r="N25">
        <v>54</v>
      </c>
      <c r="O25" t="s">
        <v>448</v>
      </c>
      <c r="P25">
        <v>536.91999999999996</v>
      </c>
      <c r="Q25">
        <v>646.72</v>
      </c>
      <c r="R25">
        <v>0</v>
      </c>
      <c r="S25">
        <v>0</v>
      </c>
      <c r="T25">
        <v>0</v>
      </c>
      <c r="U25" s="2" t="s">
        <v>29</v>
      </c>
      <c r="V25" s="4"/>
      <c r="W25">
        <v>0</v>
      </c>
      <c r="X25" s="1"/>
      <c r="Y25">
        <v>0</v>
      </c>
      <c r="Z25">
        <v>2</v>
      </c>
      <c r="AA25">
        <v>2025</v>
      </c>
      <c r="AB25" t="s">
        <v>451</v>
      </c>
      <c r="AC25" s="2" t="s">
        <v>39</v>
      </c>
    </row>
    <row r="26" spans="1:29" x14ac:dyDescent="0.25">
      <c r="A26" s="1">
        <v>45697</v>
      </c>
      <c r="B26" s="1">
        <v>45704</v>
      </c>
      <c r="C26" s="2" t="s">
        <v>41</v>
      </c>
      <c r="D26" s="2" t="s">
        <v>28</v>
      </c>
      <c r="E26" s="3" t="s">
        <v>89</v>
      </c>
      <c r="F26" s="2" t="s">
        <v>167</v>
      </c>
      <c r="G26" s="2" t="s">
        <v>220</v>
      </c>
      <c r="H26" s="2" t="s">
        <v>45</v>
      </c>
      <c r="I26" s="2" t="s">
        <v>47</v>
      </c>
      <c r="J26" s="2" t="s">
        <v>29</v>
      </c>
      <c r="K26" s="2" t="s">
        <v>23</v>
      </c>
      <c r="L26" s="1">
        <v>45700</v>
      </c>
      <c r="M26" s="2" t="s">
        <v>29</v>
      </c>
      <c r="N26">
        <v>84</v>
      </c>
      <c r="O26" t="s">
        <v>446</v>
      </c>
      <c r="P26">
        <v>69.94</v>
      </c>
      <c r="Q26">
        <v>84.13</v>
      </c>
      <c r="R26">
        <v>3515.42</v>
      </c>
      <c r="S26">
        <v>3086.47</v>
      </c>
      <c r="T26">
        <v>428.95</v>
      </c>
      <c r="U26" s="2" t="s">
        <v>29</v>
      </c>
      <c r="V26" s="4"/>
      <c r="W26">
        <v>0</v>
      </c>
      <c r="X26" s="1">
        <v>45707</v>
      </c>
      <c r="Y26">
        <v>1</v>
      </c>
      <c r="Z26">
        <v>2</v>
      </c>
      <c r="AA26">
        <v>2025</v>
      </c>
      <c r="AB26" t="s">
        <v>451</v>
      </c>
      <c r="AC26" s="2" t="s">
        <v>46</v>
      </c>
    </row>
    <row r="27" spans="1:29" x14ac:dyDescent="0.25">
      <c r="A27" s="1">
        <v>45698</v>
      </c>
      <c r="B27" s="1">
        <v>45705</v>
      </c>
      <c r="C27" s="2" t="s">
        <v>41</v>
      </c>
      <c r="D27" s="2" t="s">
        <v>28</v>
      </c>
      <c r="E27" s="3" t="s">
        <v>81</v>
      </c>
      <c r="F27" s="2" t="s">
        <v>159</v>
      </c>
      <c r="G27" s="2" t="s">
        <v>221</v>
      </c>
      <c r="H27" s="2" t="s">
        <v>45</v>
      </c>
      <c r="I27" s="2" t="s">
        <v>47</v>
      </c>
      <c r="J27" s="2" t="s">
        <v>29</v>
      </c>
      <c r="K27" s="2" t="s">
        <v>23</v>
      </c>
      <c r="L27" s="1">
        <v>45701</v>
      </c>
      <c r="M27" s="2" t="s">
        <v>29</v>
      </c>
      <c r="N27">
        <v>84</v>
      </c>
      <c r="O27" t="s">
        <v>446</v>
      </c>
      <c r="P27">
        <v>50.84</v>
      </c>
      <c r="Q27">
        <v>56.42</v>
      </c>
      <c r="R27">
        <v>2207.9699999999998</v>
      </c>
      <c r="S27">
        <v>1411.23</v>
      </c>
      <c r="T27">
        <v>796.74</v>
      </c>
      <c r="U27" s="2" t="s">
        <v>29</v>
      </c>
      <c r="V27" s="4"/>
      <c r="W27">
        <v>0</v>
      </c>
      <c r="X27" s="1">
        <v>45708</v>
      </c>
      <c r="Y27">
        <v>1</v>
      </c>
      <c r="Z27">
        <v>2</v>
      </c>
      <c r="AA27">
        <v>2025</v>
      </c>
      <c r="AB27" t="s">
        <v>451</v>
      </c>
      <c r="AC27" s="2" t="s">
        <v>46</v>
      </c>
    </row>
    <row r="28" spans="1:29" x14ac:dyDescent="0.25">
      <c r="A28" s="1">
        <v>45700</v>
      </c>
      <c r="B28" s="1">
        <v>45707</v>
      </c>
      <c r="C28" s="2" t="s">
        <v>41</v>
      </c>
      <c r="D28" s="2" t="s">
        <v>28</v>
      </c>
      <c r="E28" s="3" t="s">
        <v>90</v>
      </c>
      <c r="F28" s="2" t="s">
        <v>168</v>
      </c>
      <c r="G28" s="2" t="s">
        <v>222</v>
      </c>
      <c r="H28" s="2" t="s">
        <v>45</v>
      </c>
      <c r="I28" s="2" t="s">
        <v>47</v>
      </c>
      <c r="J28" s="2" t="s">
        <v>29</v>
      </c>
      <c r="K28" s="2" t="s">
        <v>23</v>
      </c>
      <c r="L28" s="1">
        <v>45703</v>
      </c>
      <c r="M28" s="2" t="s">
        <v>29</v>
      </c>
      <c r="N28">
        <v>84</v>
      </c>
      <c r="O28" t="s">
        <v>446</v>
      </c>
      <c r="P28">
        <v>50.22</v>
      </c>
      <c r="Q28">
        <v>59.64</v>
      </c>
      <c r="R28">
        <v>2311.44</v>
      </c>
      <c r="S28">
        <v>1928.78</v>
      </c>
      <c r="T28">
        <v>382.66</v>
      </c>
      <c r="U28" s="2" t="s">
        <v>29</v>
      </c>
      <c r="V28" s="4"/>
      <c r="W28">
        <v>0</v>
      </c>
      <c r="X28" s="1">
        <v>45710</v>
      </c>
      <c r="Y28">
        <v>1</v>
      </c>
      <c r="Z28">
        <v>2</v>
      </c>
      <c r="AA28">
        <v>2025</v>
      </c>
      <c r="AB28" t="s">
        <v>451</v>
      </c>
      <c r="AC28" s="2" t="s">
        <v>46</v>
      </c>
    </row>
    <row r="29" spans="1:29" x14ac:dyDescent="0.25">
      <c r="A29" s="1">
        <v>45701</v>
      </c>
      <c r="B29" s="1"/>
      <c r="C29" s="2" t="s">
        <v>27</v>
      </c>
      <c r="D29" s="2" t="s">
        <v>28</v>
      </c>
      <c r="E29" s="3" t="s">
        <v>83</v>
      </c>
      <c r="F29" s="2" t="s">
        <v>161</v>
      </c>
      <c r="G29" s="2" t="s">
        <v>223</v>
      </c>
      <c r="H29" s="2" t="s">
        <v>37</v>
      </c>
      <c r="I29" s="2" t="s">
        <v>31</v>
      </c>
      <c r="J29" s="2" t="s">
        <v>29</v>
      </c>
      <c r="K29" s="2" t="s">
        <v>32</v>
      </c>
      <c r="L29" s="1">
        <v>45704</v>
      </c>
      <c r="M29" s="2" t="s">
        <v>29</v>
      </c>
      <c r="N29">
        <v>41</v>
      </c>
      <c r="O29" t="s">
        <v>448</v>
      </c>
      <c r="P29">
        <v>628.22</v>
      </c>
      <c r="Q29">
        <v>734.41</v>
      </c>
      <c r="R29">
        <v>20500</v>
      </c>
      <c r="S29">
        <v>0</v>
      </c>
      <c r="T29">
        <v>20500</v>
      </c>
      <c r="U29" s="2" t="s">
        <v>29</v>
      </c>
      <c r="V29" s="4"/>
      <c r="W29">
        <v>0</v>
      </c>
      <c r="X29" s="1"/>
      <c r="Y29">
        <v>0</v>
      </c>
      <c r="Z29">
        <v>2</v>
      </c>
      <c r="AA29">
        <v>2025</v>
      </c>
      <c r="AB29" t="s">
        <v>451</v>
      </c>
      <c r="AC29" s="2" t="s">
        <v>39</v>
      </c>
    </row>
    <row r="30" spans="1:29" x14ac:dyDescent="0.25">
      <c r="A30" s="1">
        <v>45703</v>
      </c>
      <c r="B30" s="1">
        <v>45710</v>
      </c>
      <c r="C30" s="2" t="s">
        <v>36</v>
      </c>
      <c r="D30" s="2" t="s">
        <v>28</v>
      </c>
      <c r="E30" s="3" t="s">
        <v>88</v>
      </c>
      <c r="F30" s="2" t="s">
        <v>166</v>
      </c>
      <c r="G30" s="2" t="s">
        <v>224</v>
      </c>
      <c r="H30" s="2" t="s">
        <v>45</v>
      </c>
      <c r="I30" s="2" t="s">
        <v>47</v>
      </c>
      <c r="J30" s="2" t="s">
        <v>29</v>
      </c>
      <c r="K30" s="2" t="s">
        <v>32</v>
      </c>
      <c r="L30" s="1">
        <v>45706</v>
      </c>
      <c r="M30" s="2" t="s">
        <v>29</v>
      </c>
      <c r="N30">
        <v>84</v>
      </c>
      <c r="O30" t="s">
        <v>446</v>
      </c>
      <c r="P30">
        <v>249.12</v>
      </c>
      <c r="Q30">
        <v>373.6</v>
      </c>
      <c r="R30">
        <v>0</v>
      </c>
      <c r="S30">
        <v>0</v>
      </c>
      <c r="T30">
        <v>0</v>
      </c>
      <c r="U30" s="2" t="s">
        <v>29</v>
      </c>
      <c r="V30" s="4"/>
      <c r="W30">
        <v>0</v>
      </c>
      <c r="X30" s="1"/>
      <c r="Y30">
        <v>0</v>
      </c>
      <c r="Z30">
        <v>2</v>
      </c>
      <c r="AA30">
        <v>2025</v>
      </c>
      <c r="AB30" t="s">
        <v>451</v>
      </c>
      <c r="AC30" s="2" t="s">
        <v>46</v>
      </c>
    </row>
    <row r="31" spans="1:29" x14ac:dyDescent="0.25">
      <c r="A31" s="1">
        <v>45704</v>
      </c>
      <c r="B31" s="1">
        <v>45711</v>
      </c>
      <c r="C31" s="2" t="s">
        <v>36</v>
      </c>
      <c r="D31" s="2" t="s">
        <v>28</v>
      </c>
      <c r="E31" s="3" t="s">
        <v>93</v>
      </c>
      <c r="F31" s="2" t="s">
        <v>171</v>
      </c>
      <c r="G31" s="2" t="s">
        <v>225</v>
      </c>
      <c r="H31" s="2" t="s">
        <v>37</v>
      </c>
      <c r="I31" s="2" t="s">
        <v>47</v>
      </c>
      <c r="J31" s="2" t="s">
        <v>29</v>
      </c>
      <c r="K31" s="2" t="s">
        <v>32</v>
      </c>
      <c r="L31" s="1">
        <v>45707</v>
      </c>
      <c r="M31" s="2" t="s">
        <v>29</v>
      </c>
      <c r="N31">
        <v>56</v>
      </c>
      <c r="O31" t="s">
        <v>448</v>
      </c>
      <c r="P31">
        <v>249.12</v>
      </c>
      <c r="Q31">
        <v>373.6</v>
      </c>
      <c r="R31">
        <v>10000</v>
      </c>
      <c r="S31">
        <v>0</v>
      </c>
      <c r="T31">
        <v>10000</v>
      </c>
      <c r="U31" s="2" t="s">
        <v>29</v>
      </c>
      <c r="V31" s="4"/>
      <c r="W31">
        <v>0</v>
      </c>
      <c r="X31" s="1"/>
      <c r="Y31">
        <v>0</v>
      </c>
      <c r="Z31">
        <v>2</v>
      </c>
      <c r="AA31">
        <v>2025</v>
      </c>
      <c r="AB31" t="s">
        <v>451</v>
      </c>
      <c r="AC31" s="2" t="s">
        <v>39</v>
      </c>
    </row>
    <row r="32" spans="1:29" x14ac:dyDescent="0.25">
      <c r="A32" s="1">
        <v>45706</v>
      </c>
      <c r="B32" s="1">
        <v>45713</v>
      </c>
      <c r="C32" s="2" t="s">
        <v>41</v>
      </c>
      <c r="D32" s="2" t="s">
        <v>28</v>
      </c>
      <c r="E32" s="3" t="s">
        <v>94</v>
      </c>
      <c r="F32" s="2" t="s">
        <v>172</v>
      </c>
      <c r="G32" s="2" t="s">
        <v>226</v>
      </c>
      <c r="H32" s="2" t="s">
        <v>45</v>
      </c>
      <c r="I32" s="2" t="s">
        <v>47</v>
      </c>
      <c r="J32" s="2" t="s">
        <v>29</v>
      </c>
      <c r="K32" s="2" t="s">
        <v>32</v>
      </c>
      <c r="L32" s="1">
        <v>45709</v>
      </c>
      <c r="M32" s="2" t="s">
        <v>29</v>
      </c>
      <c r="N32">
        <v>84</v>
      </c>
      <c r="O32" t="s">
        <v>446</v>
      </c>
      <c r="P32">
        <v>832.76</v>
      </c>
      <c r="Q32">
        <v>1000</v>
      </c>
      <c r="R32">
        <v>0</v>
      </c>
      <c r="S32">
        <v>0</v>
      </c>
      <c r="T32">
        <v>0</v>
      </c>
      <c r="U32" s="2" t="s">
        <v>29</v>
      </c>
      <c r="V32" s="4"/>
      <c r="W32">
        <v>0</v>
      </c>
      <c r="X32" s="1"/>
      <c r="Y32">
        <v>0</v>
      </c>
      <c r="Z32">
        <v>2</v>
      </c>
      <c r="AA32">
        <v>2025</v>
      </c>
      <c r="AB32" t="s">
        <v>451</v>
      </c>
      <c r="AC32" s="2" t="s">
        <v>46</v>
      </c>
    </row>
    <row r="33" spans="1:29" x14ac:dyDescent="0.25">
      <c r="A33" s="1">
        <v>45707</v>
      </c>
      <c r="B33" s="1">
        <v>45714</v>
      </c>
      <c r="C33" s="2" t="s">
        <v>41</v>
      </c>
      <c r="D33" s="2" t="s">
        <v>28</v>
      </c>
      <c r="E33" s="3" t="s">
        <v>95</v>
      </c>
      <c r="F33" s="2" t="s">
        <v>173</v>
      </c>
      <c r="G33" s="2" t="s">
        <v>227</v>
      </c>
      <c r="H33" s="2" t="s">
        <v>37</v>
      </c>
      <c r="I33" s="2" t="s">
        <v>47</v>
      </c>
      <c r="J33" s="2" t="s">
        <v>29</v>
      </c>
      <c r="K33" s="2" t="s">
        <v>32</v>
      </c>
      <c r="L33" s="1">
        <v>45710</v>
      </c>
      <c r="M33" s="2" t="s">
        <v>29</v>
      </c>
      <c r="N33">
        <v>60</v>
      </c>
      <c r="O33" t="s">
        <v>446</v>
      </c>
      <c r="P33">
        <v>983.52</v>
      </c>
      <c r="Q33">
        <v>1000</v>
      </c>
      <c r="R33">
        <v>41800</v>
      </c>
      <c r="S33">
        <v>0</v>
      </c>
      <c r="T33">
        <v>41800</v>
      </c>
      <c r="U33" s="2" t="s">
        <v>29</v>
      </c>
      <c r="V33" s="4"/>
      <c r="W33">
        <v>0</v>
      </c>
      <c r="X33" s="1"/>
      <c r="Y33">
        <v>0</v>
      </c>
      <c r="Z33">
        <v>2</v>
      </c>
      <c r="AA33">
        <v>2025</v>
      </c>
      <c r="AB33" t="s">
        <v>451</v>
      </c>
      <c r="AC33" s="2" t="s">
        <v>39</v>
      </c>
    </row>
    <row r="34" spans="1:29" x14ac:dyDescent="0.25">
      <c r="A34" s="1">
        <v>45709</v>
      </c>
      <c r="B34" s="1"/>
      <c r="C34" s="2" t="s">
        <v>41</v>
      </c>
      <c r="D34" s="2" t="s">
        <v>28</v>
      </c>
      <c r="E34" s="3" t="s">
        <v>96</v>
      </c>
      <c r="F34" s="2" t="s">
        <v>174</v>
      </c>
      <c r="G34" s="2" t="s">
        <v>228</v>
      </c>
      <c r="H34" s="2" t="s">
        <v>50</v>
      </c>
      <c r="I34" s="2" t="s">
        <v>51</v>
      </c>
      <c r="J34" s="2" t="s">
        <v>29</v>
      </c>
      <c r="K34" s="2" t="s">
        <v>52</v>
      </c>
      <c r="L34" s="1">
        <v>45712</v>
      </c>
      <c r="M34" s="2" t="s">
        <v>29</v>
      </c>
      <c r="N34">
        <v>0</v>
      </c>
      <c r="O34" t="s">
        <v>447</v>
      </c>
      <c r="P34">
        <v>0</v>
      </c>
      <c r="Q34">
        <v>0</v>
      </c>
      <c r="R34">
        <v>217.11</v>
      </c>
      <c r="S34">
        <v>0</v>
      </c>
      <c r="T34">
        <v>217.11</v>
      </c>
      <c r="U34" s="2" t="s">
        <v>29</v>
      </c>
      <c r="V34" s="4"/>
      <c r="W34">
        <v>0</v>
      </c>
      <c r="X34" s="1"/>
      <c r="Y34">
        <v>0</v>
      </c>
      <c r="Z34">
        <v>2</v>
      </c>
      <c r="AA34">
        <v>2025</v>
      </c>
      <c r="AB34" t="s">
        <v>451</v>
      </c>
      <c r="AC34" s="2" t="s">
        <v>50</v>
      </c>
    </row>
    <row r="35" spans="1:29" x14ac:dyDescent="0.25">
      <c r="A35" s="1">
        <v>45710</v>
      </c>
      <c r="B35" s="1">
        <v>45717</v>
      </c>
      <c r="C35" s="2" t="s">
        <v>41</v>
      </c>
      <c r="D35" s="2" t="s">
        <v>28</v>
      </c>
      <c r="E35" s="3" t="s">
        <v>97</v>
      </c>
      <c r="F35" s="2" t="s">
        <v>175</v>
      </c>
      <c r="G35" s="2" t="s">
        <v>229</v>
      </c>
      <c r="H35" s="2" t="s">
        <v>37</v>
      </c>
      <c r="I35" s="2" t="s">
        <v>47</v>
      </c>
      <c r="J35" s="2" t="s">
        <v>29</v>
      </c>
      <c r="K35" s="2" t="s">
        <v>32</v>
      </c>
      <c r="L35" s="1">
        <v>45713</v>
      </c>
      <c r="M35" s="2" t="s">
        <v>29</v>
      </c>
      <c r="N35">
        <v>72</v>
      </c>
      <c r="O35" t="s">
        <v>446</v>
      </c>
      <c r="P35">
        <v>60.09</v>
      </c>
      <c r="Q35">
        <v>95.37</v>
      </c>
      <c r="R35">
        <v>2850</v>
      </c>
      <c r="S35">
        <v>0</v>
      </c>
      <c r="T35">
        <v>2850</v>
      </c>
      <c r="U35" s="2" t="s">
        <v>29</v>
      </c>
      <c r="V35" s="4"/>
      <c r="W35">
        <v>0</v>
      </c>
      <c r="X35" s="1"/>
      <c r="Y35">
        <v>0</v>
      </c>
      <c r="Z35">
        <v>2</v>
      </c>
      <c r="AA35">
        <v>2025</v>
      </c>
      <c r="AB35" t="s">
        <v>451</v>
      </c>
      <c r="AC35" s="2" t="s">
        <v>39</v>
      </c>
    </row>
    <row r="36" spans="1:29" x14ac:dyDescent="0.25">
      <c r="A36" s="1">
        <v>45712</v>
      </c>
      <c r="B36" s="1"/>
      <c r="C36" s="2" t="s">
        <v>41</v>
      </c>
      <c r="D36" s="2" t="s">
        <v>28</v>
      </c>
      <c r="E36" s="3" t="s">
        <v>98</v>
      </c>
      <c r="F36" s="2" t="s">
        <v>176</v>
      </c>
      <c r="G36" s="2" t="s">
        <v>230</v>
      </c>
      <c r="H36" s="2" t="s">
        <v>34</v>
      </c>
      <c r="I36" s="2" t="s">
        <v>53</v>
      </c>
      <c r="J36" s="2" t="s">
        <v>29</v>
      </c>
      <c r="K36" s="2" t="s">
        <v>38</v>
      </c>
      <c r="L36" s="1">
        <v>45715</v>
      </c>
      <c r="M36" s="2" t="s">
        <v>29</v>
      </c>
      <c r="N36">
        <v>84</v>
      </c>
      <c r="O36" t="s">
        <v>446</v>
      </c>
      <c r="P36">
        <v>0</v>
      </c>
      <c r="Q36">
        <v>37.61</v>
      </c>
      <c r="R36">
        <v>1568.39</v>
      </c>
      <c r="S36">
        <v>1260.81</v>
      </c>
      <c r="T36">
        <v>307.58</v>
      </c>
      <c r="U36" s="2" t="s">
        <v>29</v>
      </c>
      <c r="V36" s="4"/>
      <c r="W36">
        <v>0</v>
      </c>
      <c r="X36" s="1"/>
      <c r="Y36">
        <v>0</v>
      </c>
      <c r="Z36">
        <v>2</v>
      </c>
      <c r="AA36">
        <v>2025</v>
      </c>
      <c r="AB36" t="s">
        <v>451</v>
      </c>
      <c r="AC36" s="2" t="s">
        <v>35</v>
      </c>
    </row>
    <row r="37" spans="1:29" x14ac:dyDescent="0.25">
      <c r="A37" s="1">
        <v>45713</v>
      </c>
      <c r="B37" s="1"/>
      <c r="C37" s="2" t="s">
        <v>41</v>
      </c>
      <c r="D37" s="2" t="s">
        <v>28</v>
      </c>
      <c r="E37" s="3" t="s">
        <v>91</v>
      </c>
      <c r="F37" s="2" t="s">
        <v>169</v>
      </c>
      <c r="G37" s="2" t="s">
        <v>231</v>
      </c>
      <c r="H37" s="2" t="s">
        <v>34</v>
      </c>
      <c r="I37" s="2" t="s">
        <v>53</v>
      </c>
      <c r="J37" s="2" t="s">
        <v>29</v>
      </c>
      <c r="K37" s="2" t="s">
        <v>38</v>
      </c>
      <c r="L37" s="1">
        <v>45716</v>
      </c>
      <c r="M37" s="2" t="s">
        <v>29</v>
      </c>
      <c r="N37">
        <v>84</v>
      </c>
      <c r="O37" t="s">
        <v>446</v>
      </c>
      <c r="P37">
        <v>0</v>
      </c>
      <c r="Q37">
        <v>35.22</v>
      </c>
      <c r="R37">
        <v>1710.54</v>
      </c>
      <c r="S37">
        <v>1431.93</v>
      </c>
      <c r="T37">
        <v>278.61</v>
      </c>
      <c r="U37" s="2" t="s">
        <v>29</v>
      </c>
      <c r="V37" s="4"/>
      <c r="W37">
        <v>0</v>
      </c>
      <c r="X37" s="1"/>
      <c r="Y37">
        <v>0</v>
      </c>
      <c r="Z37">
        <v>2</v>
      </c>
      <c r="AA37">
        <v>2025</v>
      </c>
      <c r="AB37" t="s">
        <v>451</v>
      </c>
      <c r="AC37" s="2" t="s">
        <v>35</v>
      </c>
    </row>
    <row r="38" spans="1:29" x14ac:dyDescent="0.25">
      <c r="A38" s="1">
        <v>45715</v>
      </c>
      <c r="B38" s="1">
        <v>45722</v>
      </c>
      <c r="C38" s="2" t="s">
        <v>27</v>
      </c>
      <c r="D38" s="2" t="s">
        <v>28</v>
      </c>
      <c r="E38" s="3" t="s">
        <v>99</v>
      </c>
      <c r="F38" s="2" t="s">
        <v>177</v>
      </c>
      <c r="G38" s="2" t="s">
        <v>232</v>
      </c>
      <c r="H38" s="2" t="s">
        <v>37</v>
      </c>
      <c r="I38" s="2" t="s">
        <v>47</v>
      </c>
      <c r="J38" s="2" t="s">
        <v>29</v>
      </c>
      <c r="K38" s="2" t="s">
        <v>32</v>
      </c>
      <c r="L38" s="1">
        <v>45718</v>
      </c>
      <c r="M38" s="2" t="s">
        <v>29</v>
      </c>
      <c r="N38">
        <v>57</v>
      </c>
      <c r="O38" t="s">
        <v>448</v>
      </c>
      <c r="P38">
        <v>196.77</v>
      </c>
      <c r="Q38">
        <v>299.3</v>
      </c>
      <c r="R38">
        <v>8000</v>
      </c>
      <c r="S38">
        <v>0</v>
      </c>
      <c r="T38">
        <v>8000</v>
      </c>
      <c r="U38" s="2" t="s">
        <v>29</v>
      </c>
      <c r="V38" s="4"/>
      <c r="W38">
        <v>0</v>
      </c>
      <c r="X38" s="1"/>
      <c r="Y38">
        <v>0</v>
      </c>
      <c r="Z38">
        <v>2</v>
      </c>
      <c r="AA38">
        <v>2025</v>
      </c>
      <c r="AB38" t="s">
        <v>451</v>
      </c>
      <c r="AC38" s="2" t="s">
        <v>39</v>
      </c>
    </row>
    <row r="39" spans="1:29" x14ac:dyDescent="0.25">
      <c r="A39" s="1">
        <v>45717</v>
      </c>
      <c r="B39" s="1"/>
      <c r="C39" s="2" t="s">
        <v>27</v>
      </c>
      <c r="D39" s="2" t="s">
        <v>28</v>
      </c>
      <c r="E39" s="3" t="s">
        <v>100</v>
      </c>
      <c r="F39" s="2" t="s">
        <v>178</v>
      </c>
      <c r="G39" s="2" t="s">
        <v>233</v>
      </c>
      <c r="H39" s="2" t="s">
        <v>30</v>
      </c>
      <c r="I39" s="2" t="s">
        <v>47</v>
      </c>
      <c r="J39" s="2" t="s">
        <v>29</v>
      </c>
      <c r="K39" s="2" t="s">
        <v>32</v>
      </c>
      <c r="L39" s="1">
        <v>45720</v>
      </c>
      <c r="M39" s="2" t="s">
        <v>29</v>
      </c>
      <c r="N39">
        <v>84</v>
      </c>
      <c r="O39" t="s">
        <v>446</v>
      </c>
      <c r="P39">
        <v>0</v>
      </c>
      <c r="Q39">
        <v>73.459999999999994</v>
      </c>
      <c r="R39">
        <v>3016.62</v>
      </c>
      <c r="S39">
        <v>0</v>
      </c>
      <c r="T39">
        <v>3016.62</v>
      </c>
      <c r="U39" s="2" t="s">
        <v>29</v>
      </c>
      <c r="V39" s="4"/>
      <c r="W39">
        <v>0</v>
      </c>
      <c r="X39" s="1"/>
      <c r="Y39">
        <v>0</v>
      </c>
      <c r="Z39">
        <v>3</v>
      </c>
      <c r="AA39">
        <v>2025</v>
      </c>
      <c r="AB39" t="s">
        <v>452</v>
      </c>
      <c r="AC39" s="2" t="s">
        <v>33</v>
      </c>
    </row>
    <row r="40" spans="1:29" x14ac:dyDescent="0.25">
      <c r="A40" s="1">
        <v>45718</v>
      </c>
      <c r="B40" s="1"/>
      <c r="C40" s="2" t="s">
        <v>27</v>
      </c>
      <c r="D40" s="2" t="s">
        <v>28</v>
      </c>
      <c r="E40" s="3" t="s">
        <v>101</v>
      </c>
      <c r="F40" s="2" t="s">
        <v>179</v>
      </c>
      <c r="G40" s="2" t="s">
        <v>234</v>
      </c>
      <c r="H40" s="2" t="s">
        <v>30</v>
      </c>
      <c r="I40" s="2" t="s">
        <v>47</v>
      </c>
      <c r="J40" s="2" t="s">
        <v>29</v>
      </c>
      <c r="K40" s="2" t="s">
        <v>32</v>
      </c>
      <c r="L40" s="1">
        <v>45721</v>
      </c>
      <c r="M40" s="2" t="s">
        <v>29</v>
      </c>
      <c r="N40">
        <v>84</v>
      </c>
      <c r="O40" t="s">
        <v>446</v>
      </c>
      <c r="P40">
        <v>0</v>
      </c>
      <c r="Q40">
        <v>88.73</v>
      </c>
      <c r="R40">
        <v>3642.44</v>
      </c>
      <c r="S40">
        <v>0</v>
      </c>
      <c r="T40">
        <v>3642.44</v>
      </c>
      <c r="U40" s="2" t="s">
        <v>29</v>
      </c>
      <c r="V40" s="4"/>
      <c r="W40">
        <v>0</v>
      </c>
      <c r="X40" s="1"/>
      <c r="Y40">
        <v>0</v>
      </c>
      <c r="Z40">
        <v>3</v>
      </c>
      <c r="AA40">
        <v>2025</v>
      </c>
      <c r="AB40" t="s">
        <v>452</v>
      </c>
      <c r="AC40" s="2" t="s">
        <v>33</v>
      </c>
    </row>
    <row r="41" spans="1:29" x14ac:dyDescent="0.25">
      <c r="A41" s="1">
        <v>45720</v>
      </c>
      <c r="B41" s="1"/>
      <c r="C41" s="2" t="s">
        <v>41</v>
      </c>
      <c r="D41" s="2" t="s">
        <v>28</v>
      </c>
      <c r="E41" s="3" t="s">
        <v>80</v>
      </c>
      <c r="F41" s="2" t="s">
        <v>158</v>
      </c>
      <c r="G41" s="2" t="s">
        <v>235</v>
      </c>
      <c r="H41" s="2" t="s">
        <v>45</v>
      </c>
      <c r="I41" s="2" t="s">
        <v>47</v>
      </c>
      <c r="J41" s="2" t="s">
        <v>29</v>
      </c>
      <c r="K41" s="2" t="s">
        <v>32</v>
      </c>
      <c r="L41" s="1">
        <v>45723</v>
      </c>
      <c r="M41" s="2" t="s">
        <v>29</v>
      </c>
      <c r="N41">
        <v>84</v>
      </c>
      <c r="O41" t="s">
        <v>446</v>
      </c>
      <c r="P41">
        <v>285</v>
      </c>
      <c r="Q41">
        <v>0</v>
      </c>
      <c r="R41">
        <v>0</v>
      </c>
      <c r="S41">
        <v>0</v>
      </c>
      <c r="T41">
        <v>0</v>
      </c>
      <c r="U41" s="2" t="s">
        <v>29</v>
      </c>
      <c r="V41" s="4"/>
      <c r="W41">
        <v>0</v>
      </c>
      <c r="X41" s="1"/>
      <c r="Y41">
        <v>0</v>
      </c>
      <c r="Z41">
        <v>3</v>
      </c>
      <c r="AA41">
        <v>2025</v>
      </c>
      <c r="AB41" t="s">
        <v>452</v>
      </c>
      <c r="AC41" s="2" t="s">
        <v>46</v>
      </c>
    </row>
    <row r="42" spans="1:29" x14ac:dyDescent="0.25">
      <c r="A42" s="1">
        <v>45722</v>
      </c>
      <c r="B42" s="1"/>
      <c r="C42" s="2" t="s">
        <v>41</v>
      </c>
      <c r="D42" s="2" t="s">
        <v>28</v>
      </c>
      <c r="E42" s="3" t="s">
        <v>102</v>
      </c>
      <c r="F42" s="2" t="s">
        <v>180</v>
      </c>
      <c r="G42" s="2" t="s">
        <v>236</v>
      </c>
      <c r="H42" s="2" t="s">
        <v>37</v>
      </c>
      <c r="I42" s="2" t="s">
        <v>47</v>
      </c>
      <c r="J42" s="2" t="s">
        <v>29</v>
      </c>
      <c r="K42" s="2" t="s">
        <v>32</v>
      </c>
      <c r="L42" s="1">
        <v>45725</v>
      </c>
      <c r="M42" s="2" t="s">
        <v>29</v>
      </c>
      <c r="N42">
        <v>57</v>
      </c>
      <c r="O42" t="s">
        <v>448</v>
      </c>
      <c r="P42">
        <v>344.35</v>
      </c>
      <c r="Q42">
        <v>0</v>
      </c>
      <c r="R42">
        <v>14000</v>
      </c>
      <c r="S42">
        <v>0</v>
      </c>
      <c r="T42">
        <v>14000</v>
      </c>
      <c r="U42" s="2" t="s">
        <v>29</v>
      </c>
      <c r="V42" s="4"/>
      <c r="W42">
        <v>0</v>
      </c>
      <c r="X42" s="1"/>
      <c r="Y42">
        <v>0</v>
      </c>
      <c r="Z42">
        <v>3</v>
      </c>
      <c r="AA42">
        <v>2025</v>
      </c>
      <c r="AB42" t="s">
        <v>452</v>
      </c>
      <c r="AC42" s="2" t="s">
        <v>39</v>
      </c>
    </row>
    <row r="43" spans="1:29" x14ac:dyDescent="0.25">
      <c r="A43" s="1">
        <v>45723</v>
      </c>
      <c r="B43" s="1"/>
      <c r="C43" s="2" t="s">
        <v>41</v>
      </c>
      <c r="D43" s="2" t="s">
        <v>28</v>
      </c>
      <c r="E43" s="3" t="s">
        <v>103</v>
      </c>
      <c r="F43" s="2" t="s">
        <v>181</v>
      </c>
      <c r="G43" s="2" t="s">
        <v>237</v>
      </c>
      <c r="H43" s="2" t="s">
        <v>30</v>
      </c>
      <c r="I43" s="2" t="s">
        <v>47</v>
      </c>
      <c r="J43" s="2" t="s">
        <v>29</v>
      </c>
      <c r="K43" s="2" t="s">
        <v>32</v>
      </c>
      <c r="L43" s="1">
        <v>45726</v>
      </c>
      <c r="M43" s="2" t="s">
        <v>29</v>
      </c>
      <c r="N43">
        <v>0</v>
      </c>
      <c r="O43" t="s">
        <v>447</v>
      </c>
      <c r="P43">
        <v>0</v>
      </c>
      <c r="Q43">
        <v>74.849999999999994</v>
      </c>
      <c r="R43">
        <v>0</v>
      </c>
      <c r="S43">
        <v>0</v>
      </c>
      <c r="T43">
        <v>0</v>
      </c>
      <c r="U43" s="2" t="s">
        <v>29</v>
      </c>
      <c r="V43" s="4"/>
      <c r="W43">
        <v>0</v>
      </c>
      <c r="X43" s="1"/>
      <c r="Y43">
        <v>0</v>
      </c>
      <c r="Z43">
        <v>3</v>
      </c>
      <c r="AA43">
        <v>2025</v>
      </c>
      <c r="AB43" t="s">
        <v>452</v>
      </c>
      <c r="AC43" s="2" t="s">
        <v>33</v>
      </c>
    </row>
    <row r="44" spans="1:29" x14ac:dyDescent="0.25">
      <c r="A44" s="1">
        <v>45725</v>
      </c>
      <c r="B44" s="1"/>
      <c r="C44" s="2" t="s">
        <v>41</v>
      </c>
      <c r="D44" s="2" t="s">
        <v>28</v>
      </c>
      <c r="E44" s="3" t="s">
        <v>104</v>
      </c>
      <c r="F44" s="2" t="s">
        <v>182</v>
      </c>
      <c r="G44" s="2" t="s">
        <v>238</v>
      </c>
      <c r="H44" s="2" t="s">
        <v>30</v>
      </c>
      <c r="I44" s="2" t="s">
        <v>47</v>
      </c>
      <c r="J44" s="2" t="s">
        <v>29</v>
      </c>
      <c r="K44" s="2" t="s">
        <v>32</v>
      </c>
      <c r="L44" s="1">
        <v>45728</v>
      </c>
      <c r="M44" s="2" t="s">
        <v>29</v>
      </c>
      <c r="N44">
        <v>0</v>
      </c>
      <c r="O44" t="s">
        <v>447</v>
      </c>
      <c r="P44">
        <v>0</v>
      </c>
      <c r="Q44">
        <v>33.32</v>
      </c>
      <c r="R44">
        <v>0</v>
      </c>
      <c r="S44">
        <v>0</v>
      </c>
      <c r="T44">
        <v>0</v>
      </c>
      <c r="U44" s="2" t="s">
        <v>29</v>
      </c>
      <c r="V44" s="4"/>
      <c r="W44">
        <v>0</v>
      </c>
      <c r="X44" s="1"/>
      <c r="Y44">
        <v>0</v>
      </c>
      <c r="Z44">
        <v>3</v>
      </c>
      <c r="AA44">
        <v>2025</v>
      </c>
      <c r="AB44" t="s">
        <v>452</v>
      </c>
      <c r="AC44" s="2" t="s">
        <v>33</v>
      </c>
    </row>
    <row r="45" spans="1:29" x14ac:dyDescent="0.25">
      <c r="A45" s="1">
        <v>45727</v>
      </c>
      <c r="B45" s="1"/>
      <c r="C45" s="2" t="s">
        <v>41</v>
      </c>
      <c r="D45" s="2" t="s">
        <v>28</v>
      </c>
      <c r="E45" s="3" t="s">
        <v>105</v>
      </c>
      <c r="F45" s="2" t="s">
        <v>183</v>
      </c>
      <c r="G45" s="2" t="s">
        <v>239</v>
      </c>
      <c r="H45" s="2" t="s">
        <v>45</v>
      </c>
      <c r="I45" s="2" t="s">
        <v>47</v>
      </c>
      <c r="J45" s="2" t="s">
        <v>29</v>
      </c>
      <c r="K45" s="2" t="s">
        <v>32</v>
      </c>
      <c r="L45" s="1">
        <v>45730</v>
      </c>
      <c r="M45" s="2" t="s">
        <v>29</v>
      </c>
      <c r="N45">
        <v>0</v>
      </c>
      <c r="O45" t="s">
        <v>447</v>
      </c>
      <c r="P45">
        <v>178</v>
      </c>
      <c r="Q45">
        <v>286.2</v>
      </c>
      <c r="R45">
        <v>0</v>
      </c>
      <c r="S45">
        <v>0</v>
      </c>
      <c r="T45">
        <v>0</v>
      </c>
      <c r="U45" s="2" t="s">
        <v>29</v>
      </c>
      <c r="V45" s="4"/>
      <c r="W45">
        <v>0</v>
      </c>
      <c r="X45" s="1"/>
      <c r="Y45">
        <v>0</v>
      </c>
      <c r="Z45">
        <v>3</v>
      </c>
      <c r="AA45">
        <v>2025</v>
      </c>
      <c r="AB45" t="s">
        <v>452</v>
      </c>
      <c r="AC45" s="2" t="s">
        <v>46</v>
      </c>
    </row>
    <row r="46" spans="1:29" x14ac:dyDescent="0.25">
      <c r="A46" s="1">
        <v>45728</v>
      </c>
      <c r="B46" s="1"/>
      <c r="C46" s="2" t="s">
        <v>41</v>
      </c>
      <c r="D46" s="2" t="s">
        <v>28</v>
      </c>
      <c r="E46" s="3" t="s">
        <v>84</v>
      </c>
      <c r="F46" s="2" t="s">
        <v>162</v>
      </c>
      <c r="G46" s="2" t="s">
        <v>240</v>
      </c>
      <c r="H46" s="2" t="s">
        <v>37</v>
      </c>
      <c r="I46" s="2" t="s">
        <v>47</v>
      </c>
      <c r="J46" s="2" t="s">
        <v>29</v>
      </c>
      <c r="K46" s="2" t="s">
        <v>32</v>
      </c>
      <c r="L46" s="1">
        <v>45731</v>
      </c>
      <c r="M46" s="2" t="s">
        <v>29</v>
      </c>
      <c r="N46">
        <v>0</v>
      </c>
      <c r="O46" t="s">
        <v>447</v>
      </c>
      <c r="P46">
        <v>252.88</v>
      </c>
      <c r="Q46">
        <v>286.2</v>
      </c>
      <c r="R46">
        <v>0</v>
      </c>
      <c r="S46">
        <v>0</v>
      </c>
      <c r="T46">
        <v>0</v>
      </c>
      <c r="U46" s="2" t="s">
        <v>29</v>
      </c>
      <c r="V46" s="4"/>
      <c r="W46">
        <v>0</v>
      </c>
      <c r="X46" s="1"/>
      <c r="Y46">
        <v>0</v>
      </c>
      <c r="Z46">
        <v>3</v>
      </c>
      <c r="AA46">
        <v>2025</v>
      </c>
      <c r="AB46" t="s">
        <v>452</v>
      </c>
      <c r="AC46" s="2" t="s">
        <v>39</v>
      </c>
    </row>
    <row r="47" spans="1:29" x14ac:dyDescent="0.25">
      <c r="A47" s="1">
        <v>45730</v>
      </c>
      <c r="B47" s="1"/>
      <c r="C47" s="2" t="s">
        <v>44</v>
      </c>
      <c r="D47" s="2" t="s">
        <v>28</v>
      </c>
      <c r="E47" s="3" t="s">
        <v>106</v>
      </c>
      <c r="F47" s="2" t="s">
        <v>184</v>
      </c>
      <c r="G47" s="2" t="s">
        <v>241</v>
      </c>
      <c r="H47" s="2" t="s">
        <v>37</v>
      </c>
      <c r="I47" s="2" t="s">
        <v>31</v>
      </c>
      <c r="J47" s="2" t="s">
        <v>29</v>
      </c>
      <c r="K47" s="2" t="s">
        <v>52</v>
      </c>
      <c r="L47" s="1">
        <v>45733</v>
      </c>
      <c r="M47" s="2" t="s">
        <v>29</v>
      </c>
      <c r="N47">
        <v>60</v>
      </c>
      <c r="O47" t="s">
        <v>446</v>
      </c>
      <c r="P47">
        <v>249.33</v>
      </c>
      <c r="Q47">
        <v>313</v>
      </c>
      <c r="R47">
        <v>10850</v>
      </c>
      <c r="S47">
        <v>0</v>
      </c>
      <c r="T47">
        <v>10850</v>
      </c>
      <c r="U47" s="2" t="s">
        <v>29</v>
      </c>
      <c r="V47" s="4"/>
      <c r="W47">
        <v>0</v>
      </c>
      <c r="X47" s="1"/>
      <c r="Y47">
        <v>0</v>
      </c>
      <c r="Z47">
        <v>3</v>
      </c>
      <c r="AA47">
        <v>2025</v>
      </c>
      <c r="AB47" t="s">
        <v>452</v>
      </c>
      <c r="AC47" s="2" t="s">
        <v>39</v>
      </c>
    </row>
    <row r="48" spans="1:29" x14ac:dyDescent="0.25">
      <c r="A48" s="1">
        <v>45732</v>
      </c>
      <c r="B48" s="1">
        <v>45739</v>
      </c>
      <c r="C48" s="2" t="s">
        <v>44</v>
      </c>
      <c r="D48" s="2" t="s">
        <v>28</v>
      </c>
      <c r="E48" s="3" t="s">
        <v>107</v>
      </c>
      <c r="F48" s="2" t="s">
        <v>146</v>
      </c>
      <c r="G48" s="2" t="s">
        <v>242</v>
      </c>
      <c r="H48" s="2" t="s">
        <v>37</v>
      </c>
      <c r="I48" s="2" t="s">
        <v>31</v>
      </c>
      <c r="J48" s="2" t="s">
        <v>29</v>
      </c>
      <c r="K48" s="2" t="s">
        <v>32</v>
      </c>
      <c r="L48" s="1">
        <v>45735</v>
      </c>
      <c r="M48" s="2" t="s">
        <v>29</v>
      </c>
      <c r="N48">
        <v>0</v>
      </c>
      <c r="O48" t="s">
        <v>447</v>
      </c>
      <c r="P48">
        <v>415.87</v>
      </c>
      <c r="Q48">
        <v>494.7</v>
      </c>
      <c r="R48">
        <v>17000</v>
      </c>
      <c r="S48">
        <v>0</v>
      </c>
      <c r="T48">
        <v>17000</v>
      </c>
      <c r="U48" s="2" t="s">
        <v>29</v>
      </c>
      <c r="V48" s="4"/>
      <c r="W48">
        <v>0</v>
      </c>
      <c r="X48" s="1"/>
      <c r="Y48">
        <v>0</v>
      </c>
      <c r="Z48">
        <v>3</v>
      </c>
      <c r="AA48">
        <v>2025</v>
      </c>
      <c r="AB48" t="s">
        <v>452</v>
      </c>
      <c r="AC48" s="2" t="s">
        <v>39</v>
      </c>
    </row>
    <row r="49" spans="1:29" x14ac:dyDescent="0.25">
      <c r="A49" s="1">
        <v>45733</v>
      </c>
      <c r="B49" s="1">
        <v>45740</v>
      </c>
      <c r="C49" s="2" t="s">
        <v>42</v>
      </c>
      <c r="D49" s="2" t="s">
        <v>28</v>
      </c>
      <c r="E49" s="3" t="s">
        <v>108</v>
      </c>
      <c r="F49" s="2" t="s">
        <v>147</v>
      </c>
      <c r="G49" s="2" t="s">
        <v>243</v>
      </c>
      <c r="H49" s="2" t="s">
        <v>45</v>
      </c>
      <c r="I49" s="2" t="s">
        <v>47</v>
      </c>
      <c r="J49" s="2" t="s">
        <v>29</v>
      </c>
      <c r="K49" s="2" t="s">
        <v>32</v>
      </c>
      <c r="L49" s="1">
        <v>45736</v>
      </c>
      <c r="M49" s="2" t="s">
        <v>29</v>
      </c>
      <c r="N49">
        <v>84</v>
      </c>
      <c r="O49" t="s">
        <v>449</v>
      </c>
      <c r="P49">
        <v>700</v>
      </c>
      <c r="Q49">
        <v>993.81</v>
      </c>
      <c r="R49">
        <v>0</v>
      </c>
      <c r="S49">
        <v>0</v>
      </c>
      <c r="T49">
        <v>0</v>
      </c>
      <c r="U49" s="2" t="s">
        <v>29</v>
      </c>
      <c r="V49" s="4"/>
      <c r="W49">
        <v>0</v>
      </c>
      <c r="X49" s="1"/>
      <c r="Y49">
        <v>0</v>
      </c>
      <c r="Z49">
        <v>3</v>
      </c>
      <c r="AA49">
        <v>2025</v>
      </c>
      <c r="AB49" t="s">
        <v>452</v>
      </c>
      <c r="AC49" s="2" t="s">
        <v>46</v>
      </c>
    </row>
    <row r="50" spans="1:29" x14ac:dyDescent="0.25">
      <c r="A50" s="1">
        <v>45735</v>
      </c>
      <c r="B50" s="1">
        <v>45742</v>
      </c>
      <c r="C50" s="2" t="s">
        <v>42</v>
      </c>
      <c r="D50" s="2" t="s">
        <v>28</v>
      </c>
      <c r="E50" s="3" t="s">
        <v>88</v>
      </c>
      <c r="F50" s="2" t="s">
        <v>166</v>
      </c>
      <c r="G50" s="2" t="s">
        <v>244</v>
      </c>
      <c r="H50" s="2" t="s">
        <v>37</v>
      </c>
      <c r="I50" s="2" t="s">
        <v>47</v>
      </c>
      <c r="J50" s="2" t="s">
        <v>29</v>
      </c>
      <c r="K50" s="2" t="s">
        <v>32</v>
      </c>
      <c r="L50" s="1">
        <v>45738</v>
      </c>
      <c r="M50" s="2" t="s">
        <v>29</v>
      </c>
      <c r="N50">
        <v>58</v>
      </c>
      <c r="O50" t="s">
        <v>448</v>
      </c>
      <c r="P50">
        <v>844.71</v>
      </c>
      <c r="Q50">
        <v>993.81</v>
      </c>
      <c r="R50">
        <v>34800</v>
      </c>
      <c r="S50">
        <v>0</v>
      </c>
      <c r="T50">
        <v>34800</v>
      </c>
      <c r="U50" s="2" t="s">
        <v>29</v>
      </c>
      <c r="V50" s="4"/>
      <c r="W50">
        <v>0</v>
      </c>
      <c r="X50" s="1"/>
      <c r="Y50">
        <v>0</v>
      </c>
      <c r="Z50">
        <v>3</v>
      </c>
      <c r="AA50">
        <v>2025</v>
      </c>
      <c r="AB50" t="s">
        <v>452</v>
      </c>
      <c r="AC50" s="2" t="s">
        <v>39</v>
      </c>
    </row>
    <row r="51" spans="1:29" x14ac:dyDescent="0.25">
      <c r="A51" s="1">
        <v>45737</v>
      </c>
      <c r="B51" s="1"/>
      <c r="C51" s="2" t="s">
        <v>41</v>
      </c>
      <c r="D51" s="2" t="s">
        <v>28</v>
      </c>
      <c r="E51" s="3" t="s">
        <v>109</v>
      </c>
      <c r="F51" s="2" t="s">
        <v>149</v>
      </c>
      <c r="G51" s="2" t="s">
        <v>245</v>
      </c>
      <c r="H51" s="2" t="s">
        <v>50</v>
      </c>
      <c r="I51" s="2" t="s">
        <v>51</v>
      </c>
      <c r="J51" s="2" t="s">
        <v>29</v>
      </c>
      <c r="K51" s="2" t="s">
        <v>23</v>
      </c>
      <c r="L51" s="1">
        <v>45740</v>
      </c>
      <c r="M51" s="2" t="s">
        <v>29</v>
      </c>
      <c r="N51">
        <v>0</v>
      </c>
      <c r="O51" t="s">
        <v>447</v>
      </c>
      <c r="P51">
        <v>0</v>
      </c>
      <c r="Q51">
        <v>0</v>
      </c>
      <c r="R51">
        <v>705.17</v>
      </c>
      <c r="S51">
        <v>0</v>
      </c>
      <c r="T51">
        <v>705.17</v>
      </c>
      <c r="U51" s="2" t="s">
        <v>29</v>
      </c>
      <c r="V51" s="4"/>
      <c r="W51">
        <v>0</v>
      </c>
      <c r="X51" s="1">
        <v>45747</v>
      </c>
      <c r="Y51">
        <v>1</v>
      </c>
      <c r="Z51">
        <v>3</v>
      </c>
      <c r="AA51">
        <v>2025</v>
      </c>
      <c r="AB51" t="s">
        <v>452</v>
      </c>
      <c r="AC51" s="2" t="s">
        <v>50</v>
      </c>
    </row>
    <row r="52" spans="1:29" x14ac:dyDescent="0.25">
      <c r="A52" s="1">
        <v>45738</v>
      </c>
      <c r="B52" s="1"/>
      <c r="C52" s="2" t="s">
        <v>41</v>
      </c>
      <c r="D52" s="2" t="s">
        <v>28</v>
      </c>
      <c r="E52" s="3" t="s">
        <v>110</v>
      </c>
      <c r="F52" s="2" t="s">
        <v>150</v>
      </c>
      <c r="G52" s="2" t="s">
        <v>246</v>
      </c>
      <c r="H52" s="2" t="s">
        <v>45</v>
      </c>
      <c r="I52" s="2" t="s">
        <v>31</v>
      </c>
      <c r="J52" s="2" t="s">
        <v>29</v>
      </c>
      <c r="K52" s="2" t="s">
        <v>32</v>
      </c>
      <c r="L52" s="1">
        <v>45741</v>
      </c>
      <c r="M52" s="2" t="s">
        <v>29</v>
      </c>
      <c r="N52">
        <v>84</v>
      </c>
      <c r="O52" t="s">
        <v>446</v>
      </c>
      <c r="P52">
        <v>0</v>
      </c>
      <c r="Q52">
        <v>286.2</v>
      </c>
      <c r="R52">
        <v>0</v>
      </c>
      <c r="S52">
        <v>0</v>
      </c>
      <c r="T52">
        <v>0</v>
      </c>
      <c r="U52" s="2" t="s">
        <v>29</v>
      </c>
      <c r="V52" s="4"/>
      <c r="W52">
        <v>0</v>
      </c>
      <c r="X52" s="1"/>
      <c r="Y52">
        <v>0</v>
      </c>
      <c r="Z52">
        <v>3</v>
      </c>
      <c r="AA52">
        <v>2025</v>
      </c>
      <c r="AB52" t="s">
        <v>452</v>
      </c>
      <c r="AC52" s="2" t="s">
        <v>46</v>
      </c>
    </row>
    <row r="53" spans="1:29" x14ac:dyDescent="0.25">
      <c r="A53" s="1">
        <v>45740</v>
      </c>
      <c r="B53" s="1"/>
      <c r="C53" s="2" t="s">
        <v>41</v>
      </c>
      <c r="D53" s="2" t="s">
        <v>28</v>
      </c>
      <c r="E53" s="3" t="s">
        <v>86</v>
      </c>
      <c r="F53" s="2" t="s">
        <v>164</v>
      </c>
      <c r="G53" s="2" t="s">
        <v>247</v>
      </c>
      <c r="H53" s="2" t="s">
        <v>37</v>
      </c>
      <c r="I53" s="2" t="s">
        <v>31</v>
      </c>
      <c r="J53" s="2" t="s">
        <v>29</v>
      </c>
      <c r="K53" s="2" t="s">
        <v>32</v>
      </c>
      <c r="L53" s="1">
        <v>45743</v>
      </c>
      <c r="M53" s="2" t="s">
        <v>29</v>
      </c>
      <c r="N53">
        <v>44</v>
      </c>
      <c r="O53" t="s">
        <v>448</v>
      </c>
      <c r="P53">
        <v>246.88</v>
      </c>
      <c r="Q53">
        <v>286.2</v>
      </c>
      <c r="R53">
        <v>0</v>
      </c>
      <c r="S53">
        <v>0</v>
      </c>
      <c r="T53">
        <v>0</v>
      </c>
      <c r="U53" s="2" t="s">
        <v>29</v>
      </c>
      <c r="V53" s="4"/>
      <c r="W53">
        <v>0</v>
      </c>
      <c r="X53" s="1"/>
      <c r="Y53">
        <v>0</v>
      </c>
      <c r="Z53">
        <v>3</v>
      </c>
      <c r="AA53">
        <v>2025</v>
      </c>
      <c r="AB53" t="s">
        <v>452</v>
      </c>
      <c r="AC53" s="2" t="s">
        <v>39</v>
      </c>
    </row>
    <row r="54" spans="1:29" x14ac:dyDescent="0.25">
      <c r="A54" s="1">
        <v>45742</v>
      </c>
      <c r="B54" s="1"/>
      <c r="C54" s="2" t="s">
        <v>41</v>
      </c>
      <c r="D54" s="2" t="s">
        <v>28</v>
      </c>
      <c r="E54" s="3" t="s">
        <v>111</v>
      </c>
      <c r="F54" s="2" t="s">
        <v>152</v>
      </c>
      <c r="G54" s="2" t="s">
        <v>248</v>
      </c>
      <c r="H54" s="2" t="s">
        <v>54</v>
      </c>
      <c r="I54" s="2" t="s">
        <v>51</v>
      </c>
      <c r="J54" s="2" t="s">
        <v>29</v>
      </c>
      <c r="K54" s="2" t="s">
        <v>23</v>
      </c>
      <c r="L54" s="1">
        <v>45745</v>
      </c>
      <c r="M54" s="2" t="s">
        <v>29</v>
      </c>
      <c r="N54">
        <v>0</v>
      </c>
      <c r="O54" t="s">
        <v>447</v>
      </c>
      <c r="P54">
        <v>0</v>
      </c>
      <c r="Q54">
        <v>0</v>
      </c>
      <c r="R54">
        <v>1760</v>
      </c>
      <c r="S54">
        <v>0</v>
      </c>
      <c r="T54">
        <v>0</v>
      </c>
      <c r="U54" s="2" t="s">
        <v>29</v>
      </c>
      <c r="V54" s="4"/>
      <c r="W54">
        <v>0</v>
      </c>
      <c r="X54" s="1">
        <v>45752</v>
      </c>
      <c r="Y54">
        <v>1</v>
      </c>
      <c r="Z54">
        <v>3</v>
      </c>
      <c r="AA54">
        <v>2025</v>
      </c>
      <c r="AB54" t="s">
        <v>452</v>
      </c>
      <c r="AC54" s="2" t="s">
        <v>54</v>
      </c>
    </row>
    <row r="55" spans="1:29" x14ac:dyDescent="0.25">
      <c r="A55" s="1">
        <v>45743</v>
      </c>
      <c r="B55" s="1"/>
      <c r="C55" s="2" t="s">
        <v>41</v>
      </c>
      <c r="D55" s="2" t="s">
        <v>28</v>
      </c>
      <c r="E55" s="3" t="s">
        <v>112</v>
      </c>
      <c r="F55" s="2" t="s">
        <v>153</v>
      </c>
      <c r="G55" s="2" t="s">
        <v>249</v>
      </c>
      <c r="H55" s="2" t="s">
        <v>45</v>
      </c>
      <c r="I55" s="2" t="s">
        <v>48</v>
      </c>
      <c r="J55" s="2" t="s">
        <v>29</v>
      </c>
      <c r="K55" s="2" t="s">
        <v>32</v>
      </c>
      <c r="L55" s="1">
        <v>45746</v>
      </c>
      <c r="M55" s="2" t="s">
        <v>29</v>
      </c>
      <c r="N55">
        <v>84</v>
      </c>
      <c r="O55" t="s">
        <v>446</v>
      </c>
      <c r="P55">
        <v>0</v>
      </c>
      <c r="Q55">
        <v>29.25</v>
      </c>
      <c r="R55">
        <v>0</v>
      </c>
      <c r="S55">
        <v>0</v>
      </c>
      <c r="T55">
        <v>0</v>
      </c>
      <c r="U55" s="2" t="s">
        <v>29</v>
      </c>
      <c r="V55" s="4"/>
      <c r="W55">
        <v>0</v>
      </c>
      <c r="X55" s="1"/>
      <c r="Y55">
        <v>0</v>
      </c>
      <c r="Z55">
        <v>3</v>
      </c>
      <c r="AA55">
        <v>2025</v>
      </c>
      <c r="AB55" t="s">
        <v>452</v>
      </c>
      <c r="AC55" s="2" t="s">
        <v>46</v>
      </c>
    </row>
    <row r="56" spans="1:29" x14ac:dyDescent="0.25">
      <c r="A56" s="1">
        <v>45745</v>
      </c>
      <c r="B56" s="1"/>
      <c r="C56" s="2" t="s">
        <v>41</v>
      </c>
      <c r="D56" s="2" t="s">
        <v>28</v>
      </c>
      <c r="E56" s="3" t="s">
        <v>113</v>
      </c>
      <c r="F56" s="2" t="s">
        <v>154</v>
      </c>
      <c r="G56" s="2" t="s">
        <v>250</v>
      </c>
      <c r="H56" s="2" t="s">
        <v>37</v>
      </c>
      <c r="I56" s="2" t="s">
        <v>48</v>
      </c>
      <c r="J56" s="2" t="s">
        <v>29</v>
      </c>
      <c r="K56" s="2" t="s">
        <v>32</v>
      </c>
      <c r="L56" s="1">
        <v>45748</v>
      </c>
      <c r="M56" s="2" t="s">
        <v>29</v>
      </c>
      <c r="N56">
        <v>0</v>
      </c>
      <c r="O56" t="s">
        <v>447</v>
      </c>
      <c r="P56">
        <v>0</v>
      </c>
      <c r="Q56">
        <v>29.25</v>
      </c>
      <c r="R56">
        <v>0</v>
      </c>
      <c r="S56">
        <v>0</v>
      </c>
      <c r="T56">
        <v>0</v>
      </c>
      <c r="U56" s="2" t="s">
        <v>29</v>
      </c>
      <c r="V56" s="4"/>
      <c r="W56">
        <v>0</v>
      </c>
      <c r="X56" s="1"/>
      <c r="Y56">
        <v>0</v>
      </c>
      <c r="Z56">
        <v>3</v>
      </c>
      <c r="AA56">
        <v>2025</v>
      </c>
      <c r="AB56" t="s">
        <v>452</v>
      </c>
      <c r="AC56" s="2" t="s">
        <v>39</v>
      </c>
    </row>
    <row r="57" spans="1:29" x14ac:dyDescent="0.25">
      <c r="A57" s="1">
        <v>45747</v>
      </c>
      <c r="B57" s="1"/>
      <c r="C57" s="2" t="s">
        <v>41</v>
      </c>
      <c r="D57" s="2" t="s">
        <v>28</v>
      </c>
      <c r="E57" s="3" t="s">
        <v>114</v>
      </c>
      <c r="F57" s="2" t="s">
        <v>155</v>
      </c>
      <c r="G57" s="2" t="s">
        <v>251</v>
      </c>
      <c r="H57" s="2" t="s">
        <v>45</v>
      </c>
      <c r="I57" s="2" t="s">
        <v>48</v>
      </c>
      <c r="J57" s="2" t="s">
        <v>29</v>
      </c>
      <c r="K57" s="2" t="s">
        <v>32</v>
      </c>
      <c r="L57" s="1">
        <v>45750</v>
      </c>
      <c r="M57" s="2" t="s">
        <v>29</v>
      </c>
      <c r="N57">
        <v>84</v>
      </c>
      <c r="O57" t="s">
        <v>446</v>
      </c>
      <c r="P57">
        <v>0</v>
      </c>
      <c r="Q57">
        <v>135.80000000000001</v>
      </c>
      <c r="R57">
        <v>0</v>
      </c>
      <c r="S57">
        <v>0</v>
      </c>
      <c r="T57">
        <v>0</v>
      </c>
      <c r="U57" s="2" t="s">
        <v>29</v>
      </c>
      <c r="V57" s="4"/>
      <c r="W57">
        <v>0</v>
      </c>
      <c r="X57" s="1"/>
      <c r="Y57">
        <v>0</v>
      </c>
      <c r="Z57">
        <v>3</v>
      </c>
      <c r="AA57">
        <v>2025</v>
      </c>
      <c r="AB57" t="s">
        <v>452</v>
      </c>
      <c r="AC57" s="2" t="s">
        <v>46</v>
      </c>
    </row>
    <row r="58" spans="1:29" x14ac:dyDescent="0.25">
      <c r="A58" s="1">
        <v>45748</v>
      </c>
      <c r="B58" s="1"/>
      <c r="C58" s="2" t="s">
        <v>41</v>
      </c>
      <c r="D58" s="2" t="s">
        <v>28</v>
      </c>
      <c r="E58" s="3" t="s">
        <v>115</v>
      </c>
      <c r="F58" s="2" t="s">
        <v>156</v>
      </c>
      <c r="G58" s="2" t="s">
        <v>252</v>
      </c>
      <c r="H58" s="2" t="s">
        <v>37</v>
      </c>
      <c r="I58" s="2" t="s">
        <v>48</v>
      </c>
      <c r="J58" s="2" t="s">
        <v>29</v>
      </c>
      <c r="K58" s="2" t="s">
        <v>32</v>
      </c>
      <c r="L58" s="1">
        <v>45751</v>
      </c>
      <c r="M58" s="2" t="s">
        <v>29</v>
      </c>
      <c r="N58">
        <v>0</v>
      </c>
      <c r="O58" t="s">
        <v>447</v>
      </c>
      <c r="P58">
        <v>0</v>
      </c>
      <c r="Q58">
        <v>135.80000000000001</v>
      </c>
      <c r="R58">
        <v>0</v>
      </c>
      <c r="S58">
        <v>0</v>
      </c>
      <c r="T58">
        <v>0</v>
      </c>
      <c r="U58" s="2" t="s">
        <v>29</v>
      </c>
      <c r="V58" s="4"/>
      <c r="W58">
        <v>0</v>
      </c>
      <c r="X58" s="1"/>
      <c r="Y58">
        <v>0</v>
      </c>
      <c r="Z58">
        <v>4</v>
      </c>
      <c r="AA58">
        <v>2025</v>
      </c>
      <c r="AB58" t="s">
        <v>453</v>
      </c>
      <c r="AC58" s="2" t="s">
        <v>39</v>
      </c>
    </row>
    <row r="59" spans="1:29" x14ac:dyDescent="0.25">
      <c r="A59" s="1">
        <v>45750</v>
      </c>
      <c r="B59" s="1"/>
      <c r="C59" s="2" t="s">
        <v>41</v>
      </c>
      <c r="D59" s="2" t="s">
        <v>28</v>
      </c>
      <c r="E59" s="3" t="s">
        <v>116</v>
      </c>
      <c r="F59" s="2" t="s">
        <v>148</v>
      </c>
      <c r="G59" s="2" t="s">
        <v>253</v>
      </c>
      <c r="H59" s="2" t="s">
        <v>45</v>
      </c>
      <c r="I59" s="2" t="s">
        <v>48</v>
      </c>
      <c r="J59" s="2" t="s">
        <v>29</v>
      </c>
      <c r="K59" s="2" t="s">
        <v>32</v>
      </c>
      <c r="L59" s="1">
        <v>45753</v>
      </c>
      <c r="M59" s="2" t="s">
        <v>29</v>
      </c>
      <c r="N59">
        <v>84</v>
      </c>
      <c r="O59" t="s">
        <v>446</v>
      </c>
      <c r="P59">
        <v>0</v>
      </c>
      <c r="Q59">
        <v>75.739999999999995</v>
      </c>
      <c r="R59">
        <v>0</v>
      </c>
      <c r="S59">
        <v>0</v>
      </c>
      <c r="T59">
        <v>0</v>
      </c>
      <c r="U59" s="2" t="s">
        <v>29</v>
      </c>
      <c r="V59" s="4"/>
      <c r="W59">
        <v>0</v>
      </c>
      <c r="X59" s="1"/>
      <c r="Y59">
        <v>0</v>
      </c>
      <c r="Z59">
        <v>4</v>
      </c>
      <c r="AA59">
        <v>2025</v>
      </c>
      <c r="AB59" t="s">
        <v>453</v>
      </c>
      <c r="AC59" s="2" t="s">
        <v>46</v>
      </c>
    </row>
    <row r="60" spans="1:29" x14ac:dyDescent="0.25">
      <c r="A60" s="1">
        <v>45752</v>
      </c>
      <c r="B60" s="1"/>
      <c r="C60" s="2" t="s">
        <v>41</v>
      </c>
      <c r="D60" s="2" t="s">
        <v>28</v>
      </c>
      <c r="E60" s="3" t="s">
        <v>117</v>
      </c>
      <c r="F60" s="2" t="s">
        <v>158</v>
      </c>
      <c r="G60" s="2" t="s">
        <v>254</v>
      </c>
      <c r="H60" s="2" t="s">
        <v>37</v>
      </c>
      <c r="I60" s="2" t="s">
        <v>48</v>
      </c>
      <c r="J60" s="2" t="s">
        <v>29</v>
      </c>
      <c r="K60" s="2" t="s">
        <v>32</v>
      </c>
      <c r="L60" s="1">
        <v>45755</v>
      </c>
      <c r="M60" s="2" t="s">
        <v>29</v>
      </c>
      <c r="N60">
        <v>0</v>
      </c>
      <c r="O60" t="s">
        <v>447</v>
      </c>
      <c r="P60">
        <v>0</v>
      </c>
      <c r="Q60">
        <v>75.739999999999995</v>
      </c>
      <c r="R60">
        <v>0</v>
      </c>
      <c r="S60">
        <v>0</v>
      </c>
      <c r="T60">
        <v>0</v>
      </c>
      <c r="U60" s="2" t="s">
        <v>29</v>
      </c>
      <c r="V60" s="4"/>
      <c r="W60">
        <v>0</v>
      </c>
      <c r="X60" s="1"/>
      <c r="Y60">
        <v>0</v>
      </c>
      <c r="Z60">
        <v>4</v>
      </c>
      <c r="AA60">
        <v>2025</v>
      </c>
      <c r="AB60" t="s">
        <v>453</v>
      </c>
      <c r="AC60" s="2" t="s">
        <v>39</v>
      </c>
    </row>
    <row r="61" spans="1:29" x14ac:dyDescent="0.25">
      <c r="A61" s="1">
        <v>45753</v>
      </c>
      <c r="B61" s="1"/>
      <c r="C61" s="2" t="s">
        <v>41</v>
      </c>
      <c r="D61" s="2" t="s">
        <v>28</v>
      </c>
      <c r="E61" s="3" t="s">
        <v>118</v>
      </c>
      <c r="F61" s="2" t="s">
        <v>157</v>
      </c>
      <c r="G61" s="2" t="s">
        <v>255</v>
      </c>
      <c r="H61" s="2" t="s">
        <v>45</v>
      </c>
      <c r="I61" s="2" t="s">
        <v>48</v>
      </c>
      <c r="J61" s="2" t="s">
        <v>29</v>
      </c>
      <c r="K61" s="2" t="s">
        <v>32</v>
      </c>
      <c r="L61" s="1">
        <v>45756</v>
      </c>
      <c r="M61" s="2" t="s">
        <v>29</v>
      </c>
      <c r="N61">
        <v>84</v>
      </c>
      <c r="O61" t="s">
        <v>446</v>
      </c>
      <c r="P61">
        <v>0</v>
      </c>
      <c r="Q61">
        <v>111</v>
      </c>
      <c r="R61">
        <v>0</v>
      </c>
      <c r="S61">
        <v>0</v>
      </c>
      <c r="T61">
        <v>0</v>
      </c>
      <c r="U61" s="2" t="s">
        <v>29</v>
      </c>
      <c r="V61" s="4"/>
      <c r="W61">
        <v>0</v>
      </c>
      <c r="X61" s="1"/>
      <c r="Y61">
        <v>0</v>
      </c>
      <c r="Z61">
        <v>4</v>
      </c>
      <c r="AA61">
        <v>2025</v>
      </c>
      <c r="AB61" t="s">
        <v>453</v>
      </c>
      <c r="AC61" s="2" t="s">
        <v>46</v>
      </c>
    </row>
    <row r="62" spans="1:29" x14ac:dyDescent="0.25">
      <c r="A62" s="1">
        <v>45755</v>
      </c>
      <c r="B62" s="1"/>
      <c r="C62" s="2" t="s">
        <v>41</v>
      </c>
      <c r="D62" s="2" t="s">
        <v>28</v>
      </c>
      <c r="E62" s="3" t="s">
        <v>119</v>
      </c>
      <c r="F62" s="2" t="s">
        <v>185</v>
      </c>
      <c r="G62" s="2" t="s">
        <v>256</v>
      </c>
      <c r="H62" s="2" t="s">
        <v>37</v>
      </c>
      <c r="I62" s="2" t="s">
        <v>48</v>
      </c>
      <c r="J62" s="2" t="s">
        <v>29</v>
      </c>
      <c r="K62" s="2" t="s">
        <v>32</v>
      </c>
      <c r="L62" s="1">
        <v>45758</v>
      </c>
      <c r="M62" s="2" t="s">
        <v>29</v>
      </c>
      <c r="N62">
        <v>0</v>
      </c>
      <c r="O62" t="s">
        <v>447</v>
      </c>
      <c r="P62">
        <v>0</v>
      </c>
      <c r="Q62">
        <v>111</v>
      </c>
      <c r="R62">
        <v>0</v>
      </c>
      <c r="S62">
        <v>0</v>
      </c>
      <c r="T62">
        <v>0</v>
      </c>
      <c r="U62" s="2" t="s">
        <v>29</v>
      </c>
      <c r="V62" s="4"/>
      <c r="W62">
        <v>0</v>
      </c>
      <c r="X62" s="1"/>
      <c r="Y62">
        <v>0</v>
      </c>
      <c r="Z62">
        <v>4</v>
      </c>
      <c r="AA62">
        <v>2025</v>
      </c>
      <c r="AB62" t="s">
        <v>453</v>
      </c>
      <c r="AC62" s="2" t="s">
        <v>39</v>
      </c>
    </row>
    <row r="63" spans="1:29" x14ac:dyDescent="0.25">
      <c r="A63" s="1">
        <v>45756</v>
      </c>
      <c r="B63" s="1">
        <v>45763</v>
      </c>
      <c r="C63" s="2" t="s">
        <v>36</v>
      </c>
      <c r="D63" s="2" t="s">
        <v>28</v>
      </c>
      <c r="E63" s="3" t="s">
        <v>120</v>
      </c>
      <c r="F63" s="2" t="s">
        <v>159</v>
      </c>
      <c r="G63" s="2" t="s">
        <v>257</v>
      </c>
      <c r="H63" s="2" t="s">
        <v>45</v>
      </c>
      <c r="I63" s="2" t="s">
        <v>31</v>
      </c>
      <c r="J63" s="2" t="s">
        <v>29</v>
      </c>
      <c r="K63" s="2" t="s">
        <v>32</v>
      </c>
      <c r="L63" s="1">
        <v>45759</v>
      </c>
      <c r="M63" s="2" t="s">
        <v>29</v>
      </c>
      <c r="N63">
        <v>84</v>
      </c>
      <c r="O63" t="s">
        <v>446</v>
      </c>
      <c r="P63">
        <v>744.55</v>
      </c>
      <c r="Q63">
        <v>924.27</v>
      </c>
      <c r="R63">
        <v>0</v>
      </c>
      <c r="S63">
        <v>0</v>
      </c>
      <c r="T63">
        <v>30750</v>
      </c>
      <c r="U63" s="2" t="s">
        <v>29</v>
      </c>
      <c r="V63" s="4"/>
      <c r="W63">
        <v>0</v>
      </c>
      <c r="X63" s="1"/>
      <c r="Y63">
        <v>0</v>
      </c>
      <c r="Z63">
        <v>4</v>
      </c>
      <c r="AA63">
        <v>2025</v>
      </c>
      <c r="AB63" t="s">
        <v>453</v>
      </c>
      <c r="AC63" s="2" t="s">
        <v>46</v>
      </c>
    </row>
    <row r="64" spans="1:29" x14ac:dyDescent="0.25">
      <c r="A64" s="1">
        <v>45758</v>
      </c>
      <c r="B64" s="1">
        <v>45765</v>
      </c>
      <c r="C64" s="2" t="s">
        <v>36</v>
      </c>
      <c r="D64" s="2" t="s">
        <v>28</v>
      </c>
      <c r="E64" s="3" t="s">
        <v>84</v>
      </c>
      <c r="F64" s="2" t="s">
        <v>162</v>
      </c>
      <c r="G64" s="2" t="s">
        <v>258</v>
      </c>
      <c r="H64" s="2" t="s">
        <v>37</v>
      </c>
      <c r="I64" s="2" t="s">
        <v>31</v>
      </c>
      <c r="J64" s="2" t="s">
        <v>29</v>
      </c>
      <c r="K64" s="2" t="s">
        <v>32</v>
      </c>
      <c r="L64" s="1">
        <v>45761</v>
      </c>
      <c r="M64" s="2" t="s">
        <v>29</v>
      </c>
      <c r="N64">
        <v>58</v>
      </c>
      <c r="O64" t="s">
        <v>448</v>
      </c>
      <c r="P64">
        <v>744.55</v>
      </c>
      <c r="Q64">
        <v>924.27</v>
      </c>
      <c r="R64">
        <v>0</v>
      </c>
      <c r="S64">
        <v>0</v>
      </c>
      <c r="T64">
        <v>30750</v>
      </c>
      <c r="U64" s="2" t="s">
        <v>29</v>
      </c>
      <c r="V64" s="4"/>
      <c r="W64">
        <v>0</v>
      </c>
      <c r="X64" s="1"/>
      <c r="Y64">
        <v>0</v>
      </c>
      <c r="Z64">
        <v>4</v>
      </c>
      <c r="AA64">
        <v>2025</v>
      </c>
      <c r="AB64" t="s">
        <v>453</v>
      </c>
      <c r="AC64" s="2" t="s">
        <v>39</v>
      </c>
    </row>
    <row r="65" spans="1:29" x14ac:dyDescent="0.25">
      <c r="A65" s="1">
        <v>45760</v>
      </c>
      <c r="B65" s="1">
        <v>45767</v>
      </c>
      <c r="C65" s="2" t="s">
        <v>27</v>
      </c>
      <c r="D65" s="2" t="s">
        <v>28</v>
      </c>
      <c r="E65" s="3" t="s">
        <v>77</v>
      </c>
      <c r="F65" s="2" t="s">
        <v>155</v>
      </c>
      <c r="G65" s="2" t="s">
        <v>259</v>
      </c>
      <c r="H65" s="2" t="s">
        <v>45</v>
      </c>
      <c r="I65" s="2" t="s">
        <v>47</v>
      </c>
      <c r="J65" s="2" t="s">
        <v>29</v>
      </c>
      <c r="K65" s="2" t="s">
        <v>32</v>
      </c>
      <c r="L65" s="1">
        <v>45763</v>
      </c>
      <c r="M65" s="2" t="s">
        <v>29</v>
      </c>
      <c r="N65">
        <v>0</v>
      </c>
      <c r="O65" t="s">
        <v>447</v>
      </c>
      <c r="P65">
        <v>0</v>
      </c>
      <c r="Q65">
        <v>459.96</v>
      </c>
      <c r="R65">
        <v>0</v>
      </c>
      <c r="S65">
        <v>0</v>
      </c>
      <c r="T65">
        <v>0</v>
      </c>
      <c r="U65" s="2" t="s">
        <v>29</v>
      </c>
      <c r="V65" s="4"/>
      <c r="W65">
        <v>0</v>
      </c>
      <c r="X65" s="1"/>
      <c r="Y65">
        <v>0</v>
      </c>
      <c r="Z65">
        <v>4</v>
      </c>
      <c r="AA65">
        <v>2025</v>
      </c>
      <c r="AB65" t="s">
        <v>453</v>
      </c>
      <c r="AC65" s="2" t="s">
        <v>46</v>
      </c>
    </row>
    <row r="66" spans="1:29" x14ac:dyDescent="0.25">
      <c r="A66" s="1">
        <v>45761</v>
      </c>
      <c r="B66" s="1">
        <v>45768</v>
      </c>
      <c r="C66" s="2" t="s">
        <v>27</v>
      </c>
      <c r="D66" s="2" t="s">
        <v>28</v>
      </c>
      <c r="E66" s="3" t="s">
        <v>121</v>
      </c>
      <c r="F66" s="2" t="s">
        <v>161</v>
      </c>
      <c r="G66" s="2" t="s">
        <v>260</v>
      </c>
      <c r="H66" s="2" t="s">
        <v>37</v>
      </c>
      <c r="I66" s="2" t="s">
        <v>47</v>
      </c>
      <c r="J66" s="2" t="s">
        <v>29</v>
      </c>
      <c r="K66" s="2" t="s">
        <v>32</v>
      </c>
      <c r="L66" s="1">
        <v>45764</v>
      </c>
      <c r="M66" s="2" t="s">
        <v>29</v>
      </c>
      <c r="N66">
        <v>0</v>
      </c>
      <c r="O66" t="s">
        <v>447</v>
      </c>
      <c r="P66">
        <v>0</v>
      </c>
      <c r="Q66">
        <v>459.96</v>
      </c>
      <c r="R66">
        <v>14000</v>
      </c>
      <c r="S66">
        <v>0</v>
      </c>
      <c r="T66">
        <v>14000</v>
      </c>
      <c r="U66" s="2" t="s">
        <v>29</v>
      </c>
      <c r="V66" s="4"/>
      <c r="W66">
        <v>0</v>
      </c>
      <c r="X66" s="1"/>
      <c r="Y66">
        <v>0</v>
      </c>
      <c r="Z66">
        <v>4</v>
      </c>
      <c r="AA66">
        <v>2025</v>
      </c>
      <c r="AB66" t="s">
        <v>453</v>
      </c>
      <c r="AC66" s="2" t="s">
        <v>39</v>
      </c>
    </row>
    <row r="67" spans="1:29" x14ac:dyDescent="0.25">
      <c r="A67" s="1">
        <v>45763</v>
      </c>
      <c r="B67" s="1"/>
      <c r="C67" s="2" t="s">
        <v>27</v>
      </c>
      <c r="D67" s="2" t="s">
        <v>28</v>
      </c>
      <c r="E67" s="3" t="s">
        <v>68</v>
      </c>
      <c r="F67" s="2" t="s">
        <v>146</v>
      </c>
      <c r="G67" s="2" t="s">
        <v>261</v>
      </c>
      <c r="H67" s="2" t="s">
        <v>30</v>
      </c>
      <c r="I67" s="2" t="s">
        <v>47</v>
      </c>
      <c r="J67" s="2" t="s">
        <v>29</v>
      </c>
      <c r="K67" s="2" t="s">
        <v>32</v>
      </c>
      <c r="L67" s="1">
        <v>45766</v>
      </c>
      <c r="M67" s="2" t="s">
        <v>29</v>
      </c>
      <c r="N67">
        <v>0</v>
      </c>
      <c r="O67" t="s">
        <v>447</v>
      </c>
      <c r="P67">
        <v>0</v>
      </c>
      <c r="Q67">
        <v>53.8</v>
      </c>
      <c r="R67">
        <v>2216.0700000000002</v>
      </c>
      <c r="S67">
        <v>0</v>
      </c>
      <c r="T67">
        <v>2216.0700000000002</v>
      </c>
      <c r="U67" s="2" t="s">
        <v>29</v>
      </c>
      <c r="V67" s="4"/>
      <c r="W67">
        <v>0</v>
      </c>
      <c r="X67" s="1"/>
      <c r="Y67">
        <v>0</v>
      </c>
      <c r="Z67">
        <v>4</v>
      </c>
      <c r="AA67">
        <v>2025</v>
      </c>
      <c r="AB67" t="s">
        <v>453</v>
      </c>
      <c r="AC67" s="2" t="s">
        <v>33</v>
      </c>
    </row>
    <row r="68" spans="1:29" x14ac:dyDescent="0.25">
      <c r="A68" s="1">
        <v>45765</v>
      </c>
      <c r="B68" s="1"/>
      <c r="C68" s="2" t="s">
        <v>27</v>
      </c>
      <c r="D68" s="2" t="s">
        <v>28</v>
      </c>
      <c r="E68" s="3" t="s">
        <v>91</v>
      </c>
      <c r="F68" s="2" t="s">
        <v>169</v>
      </c>
      <c r="G68" s="2" t="s">
        <v>262</v>
      </c>
      <c r="H68" s="2" t="s">
        <v>30</v>
      </c>
      <c r="I68" s="2" t="s">
        <v>47</v>
      </c>
      <c r="J68" s="2" t="s">
        <v>29</v>
      </c>
      <c r="K68" s="2" t="s">
        <v>32</v>
      </c>
      <c r="L68" s="1">
        <v>45768</v>
      </c>
      <c r="M68" s="2" t="s">
        <v>29</v>
      </c>
      <c r="N68">
        <v>0</v>
      </c>
      <c r="O68" t="s">
        <v>447</v>
      </c>
      <c r="P68">
        <v>0</v>
      </c>
      <c r="Q68">
        <v>67.2</v>
      </c>
      <c r="R68">
        <v>2768.03</v>
      </c>
      <c r="S68">
        <v>0</v>
      </c>
      <c r="T68">
        <v>2768.03</v>
      </c>
      <c r="U68" s="2" t="s">
        <v>29</v>
      </c>
      <c r="V68" s="4"/>
      <c r="W68">
        <v>0</v>
      </c>
      <c r="X68" s="1"/>
      <c r="Y68">
        <v>0</v>
      </c>
      <c r="Z68">
        <v>4</v>
      </c>
      <c r="AA68">
        <v>2025</v>
      </c>
      <c r="AB68" t="s">
        <v>453</v>
      </c>
      <c r="AC68" s="2" t="s">
        <v>33</v>
      </c>
    </row>
    <row r="69" spans="1:29" x14ac:dyDescent="0.25">
      <c r="A69" s="1">
        <v>45766</v>
      </c>
      <c r="B69" s="1">
        <v>45773</v>
      </c>
      <c r="C69" s="2" t="s">
        <v>36</v>
      </c>
      <c r="D69" s="2" t="s">
        <v>28</v>
      </c>
      <c r="E69" s="3" t="s">
        <v>122</v>
      </c>
      <c r="F69" s="2" t="s">
        <v>170</v>
      </c>
      <c r="G69" s="2" t="s">
        <v>263</v>
      </c>
      <c r="H69" s="2" t="s">
        <v>45</v>
      </c>
      <c r="I69" s="2" t="s">
        <v>48</v>
      </c>
      <c r="J69" s="2" t="s">
        <v>29</v>
      </c>
      <c r="K69" s="2" t="s">
        <v>55</v>
      </c>
      <c r="L69" s="1">
        <v>45769</v>
      </c>
      <c r="M69" s="2" t="s">
        <v>29</v>
      </c>
      <c r="N69">
        <v>84</v>
      </c>
      <c r="O69" t="s">
        <v>446</v>
      </c>
      <c r="P69">
        <v>731</v>
      </c>
      <c r="Q69">
        <v>924.27</v>
      </c>
      <c r="R69">
        <v>38550</v>
      </c>
      <c r="S69">
        <v>38300</v>
      </c>
      <c r="T69">
        <v>250</v>
      </c>
      <c r="U69" s="2" t="s">
        <v>29</v>
      </c>
      <c r="V69" s="4"/>
      <c r="W69">
        <v>0</v>
      </c>
      <c r="X69" s="1"/>
      <c r="Y69">
        <v>0</v>
      </c>
      <c r="Z69">
        <v>4</v>
      </c>
      <c r="AA69">
        <v>2025</v>
      </c>
      <c r="AB69" t="s">
        <v>453</v>
      </c>
      <c r="AC69" s="2" t="s">
        <v>46</v>
      </c>
    </row>
    <row r="70" spans="1:29" x14ac:dyDescent="0.25">
      <c r="A70" s="1">
        <v>45768</v>
      </c>
      <c r="B70" s="1">
        <v>45775</v>
      </c>
      <c r="C70" s="2" t="s">
        <v>36</v>
      </c>
      <c r="D70" s="2" t="s">
        <v>28</v>
      </c>
      <c r="E70" s="3" t="s">
        <v>89</v>
      </c>
      <c r="F70" s="2" t="s">
        <v>167</v>
      </c>
      <c r="G70" s="2" t="s">
        <v>264</v>
      </c>
      <c r="H70" s="2" t="s">
        <v>37</v>
      </c>
      <c r="I70" s="2" t="s">
        <v>48</v>
      </c>
      <c r="J70" s="2" t="s">
        <v>29</v>
      </c>
      <c r="K70" s="2" t="s">
        <v>56</v>
      </c>
      <c r="L70" s="1">
        <v>45771</v>
      </c>
      <c r="M70" s="2" t="s">
        <v>29</v>
      </c>
      <c r="N70">
        <v>58</v>
      </c>
      <c r="O70" t="s">
        <v>448</v>
      </c>
      <c r="P70">
        <v>923.1</v>
      </c>
      <c r="Q70">
        <v>924.27</v>
      </c>
      <c r="R70">
        <v>38300</v>
      </c>
      <c r="S70">
        <v>0</v>
      </c>
      <c r="T70">
        <v>38300</v>
      </c>
      <c r="U70" s="2" t="s">
        <v>29</v>
      </c>
      <c r="V70" s="4"/>
      <c r="W70">
        <v>0</v>
      </c>
      <c r="X70" s="1"/>
      <c r="Y70">
        <v>0</v>
      </c>
      <c r="Z70">
        <v>4</v>
      </c>
      <c r="AA70">
        <v>2025</v>
      </c>
      <c r="AB70" t="s">
        <v>453</v>
      </c>
      <c r="AC70" s="2" t="s">
        <v>39</v>
      </c>
    </row>
    <row r="71" spans="1:29" x14ac:dyDescent="0.25">
      <c r="A71" s="1">
        <v>45769</v>
      </c>
      <c r="B71" s="1">
        <v>45776</v>
      </c>
      <c r="C71" s="2" t="s">
        <v>27</v>
      </c>
      <c r="D71" s="2" t="s">
        <v>28</v>
      </c>
      <c r="E71" s="3" t="s">
        <v>123</v>
      </c>
      <c r="F71" s="2" t="s">
        <v>164</v>
      </c>
      <c r="G71" s="2" t="s">
        <v>265</v>
      </c>
      <c r="H71" s="2" t="s">
        <v>45</v>
      </c>
      <c r="I71" s="2" t="s">
        <v>47</v>
      </c>
      <c r="J71" s="2" t="s">
        <v>29</v>
      </c>
      <c r="K71" s="2" t="s">
        <v>55</v>
      </c>
      <c r="L71" s="1">
        <v>45772</v>
      </c>
      <c r="M71" s="2" t="s">
        <v>29</v>
      </c>
      <c r="N71">
        <v>84</v>
      </c>
      <c r="O71" t="s">
        <v>446</v>
      </c>
      <c r="P71">
        <v>330</v>
      </c>
      <c r="Q71">
        <v>459.96</v>
      </c>
      <c r="R71">
        <v>16487.64</v>
      </c>
      <c r="S71">
        <v>15816.67</v>
      </c>
      <c r="T71">
        <v>670.97</v>
      </c>
      <c r="U71" s="2" t="s">
        <v>29</v>
      </c>
      <c r="V71" s="4"/>
      <c r="W71">
        <v>0</v>
      </c>
      <c r="X71" s="1"/>
      <c r="Y71">
        <v>0</v>
      </c>
      <c r="Z71">
        <v>4</v>
      </c>
      <c r="AA71">
        <v>2025</v>
      </c>
      <c r="AB71" t="s">
        <v>453</v>
      </c>
      <c r="AC71" s="2" t="s">
        <v>46</v>
      </c>
    </row>
    <row r="72" spans="1:29" x14ac:dyDescent="0.25">
      <c r="A72" s="1">
        <v>45771</v>
      </c>
      <c r="B72" s="1">
        <v>45778</v>
      </c>
      <c r="C72" s="2" t="s">
        <v>27</v>
      </c>
      <c r="D72" s="2" t="s">
        <v>28</v>
      </c>
      <c r="E72" s="3" t="s">
        <v>124</v>
      </c>
      <c r="F72" s="2" t="s">
        <v>165</v>
      </c>
      <c r="G72" s="2" t="s">
        <v>266</v>
      </c>
      <c r="H72" s="2" t="s">
        <v>37</v>
      </c>
      <c r="I72" s="2" t="s">
        <v>47</v>
      </c>
      <c r="J72" s="2" t="s">
        <v>29</v>
      </c>
      <c r="K72" s="2" t="s">
        <v>57</v>
      </c>
      <c r="L72" s="1">
        <v>45774</v>
      </c>
      <c r="M72" s="2" t="s">
        <v>29</v>
      </c>
      <c r="N72">
        <v>55</v>
      </c>
      <c r="O72" t="s">
        <v>448</v>
      </c>
      <c r="P72">
        <v>411.17</v>
      </c>
      <c r="Q72">
        <v>459.96</v>
      </c>
      <c r="R72">
        <v>15816.67</v>
      </c>
      <c r="S72">
        <v>0</v>
      </c>
      <c r="T72">
        <v>15816.67</v>
      </c>
      <c r="U72" s="2" t="s">
        <v>29</v>
      </c>
      <c r="V72" s="4"/>
      <c r="W72">
        <v>0</v>
      </c>
      <c r="X72" s="1">
        <v>45781</v>
      </c>
      <c r="Y72">
        <v>1</v>
      </c>
      <c r="Z72">
        <v>4</v>
      </c>
      <c r="AA72">
        <v>2025</v>
      </c>
      <c r="AB72" t="s">
        <v>453</v>
      </c>
      <c r="AC72" s="2" t="s">
        <v>39</v>
      </c>
    </row>
    <row r="73" spans="1:29" x14ac:dyDescent="0.25">
      <c r="A73" s="1">
        <v>45773</v>
      </c>
      <c r="B73" s="1"/>
      <c r="C73" s="2" t="s">
        <v>27</v>
      </c>
      <c r="D73" s="2" t="s">
        <v>28</v>
      </c>
      <c r="E73" s="3" t="s">
        <v>125</v>
      </c>
      <c r="F73" s="2" t="s">
        <v>185</v>
      </c>
      <c r="G73" s="2" t="s">
        <v>267</v>
      </c>
      <c r="H73" s="2" t="s">
        <v>45</v>
      </c>
      <c r="I73" s="2" t="s">
        <v>47</v>
      </c>
      <c r="J73" s="2" t="s">
        <v>29</v>
      </c>
      <c r="K73" s="2" t="s">
        <v>38</v>
      </c>
      <c r="L73" s="1">
        <v>45776</v>
      </c>
      <c r="M73" s="2" t="s">
        <v>29</v>
      </c>
      <c r="N73">
        <v>84</v>
      </c>
      <c r="O73" t="s">
        <v>446</v>
      </c>
      <c r="P73">
        <v>272</v>
      </c>
      <c r="Q73">
        <v>397.71</v>
      </c>
      <c r="R73">
        <v>13584.1</v>
      </c>
      <c r="S73">
        <v>13300</v>
      </c>
      <c r="T73">
        <v>284.10000000000002</v>
      </c>
      <c r="U73" s="2" t="s">
        <v>29</v>
      </c>
      <c r="V73" s="4"/>
      <c r="W73">
        <v>0</v>
      </c>
      <c r="X73" s="1"/>
      <c r="Y73">
        <v>0</v>
      </c>
      <c r="Z73">
        <v>4</v>
      </c>
      <c r="AA73">
        <v>2025</v>
      </c>
      <c r="AB73" t="s">
        <v>453</v>
      </c>
      <c r="AC73" s="2" t="s">
        <v>46</v>
      </c>
    </row>
    <row r="74" spans="1:29" x14ac:dyDescent="0.25">
      <c r="A74" s="1">
        <v>45774</v>
      </c>
      <c r="B74" s="1"/>
      <c r="C74" s="2" t="s">
        <v>27</v>
      </c>
      <c r="D74" s="2" t="s">
        <v>28</v>
      </c>
      <c r="E74" s="3" t="s">
        <v>126</v>
      </c>
      <c r="F74" s="2" t="s">
        <v>167</v>
      </c>
      <c r="G74" s="2" t="s">
        <v>268</v>
      </c>
      <c r="H74" s="2" t="s">
        <v>37</v>
      </c>
      <c r="I74" s="2" t="s">
        <v>47</v>
      </c>
      <c r="J74" s="2" t="s">
        <v>29</v>
      </c>
      <c r="K74" s="2" t="s">
        <v>38</v>
      </c>
      <c r="L74" s="1">
        <v>45777</v>
      </c>
      <c r="M74" s="2" t="s">
        <v>29</v>
      </c>
      <c r="N74">
        <v>42</v>
      </c>
      <c r="O74" t="s">
        <v>448</v>
      </c>
      <c r="P74">
        <v>411.3</v>
      </c>
      <c r="Q74">
        <v>397.71</v>
      </c>
      <c r="R74">
        <v>13300</v>
      </c>
      <c r="S74">
        <v>0</v>
      </c>
      <c r="T74">
        <v>13300</v>
      </c>
      <c r="U74" s="2" t="s">
        <v>29</v>
      </c>
      <c r="V74" s="4"/>
      <c r="W74">
        <v>0</v>
      </c>
      <c r="X74" s="1"/>
      <c r="Y74">
        <v>0</v>
      </c>
      <c r="Z74">
        <v>4</v>
      </c>
      <c r="AA74">
        <v>2025</v>
      </c>
      <c r="AB74" t="s">
        <v>453</v>
      </c>
      <c r="AC74" s="2" t="s">
        <v>39</v>
      </c>
    </row>
    <row r="75" spans="1:29" x14ac:dyDescent="0.25">
      <c r="A75" s="1">
        <v>45776</v>
      </c>
      <c r="B75" s="1">
        <v>45783</v>
      </c>
      <c r="C75" s="2" t="s">
        <v>44</v>
      </c>
      <c r="D75" s="2" t="s">
        <v>28</v>
      </c>
      <c r="E75" s="3" t="s">
        <v>127</v>
      </c>
      <c r="F75" s="2" t="s">
        <v>186</v>
      </c>
      <c r="G75" s="2" t="s">
        <v>269</v>
      </c>
      <c r="H75" s="2" t="s">
        <v>37</v>
      </c>
      <c r="I75" s="2" t="s">
        <v>47</v>
      </c>
      <c r="J75" s="2" t="s">
        <v>29</v>
      </c>
      <c r="K75" s="2" t="s">
        <v>32</v>
      </c>
      <c r="L75" s="1">
        <v>45779</v>
      </c>
      <c r="M75" s="2" t="s">
        <v>29</v>
      </c>
      <c r="N75">
        <v>60</v>
      </c>
      <c r="O75" t="s">
        <v>446</v>
      </c>
      <c r="P75">
        <v>248.72</v>
      </c>
      <c r="Q75">
        <v>333.7</v>
      </c>
      <c r="R75">
        <v>10500</v>
      </c>
      <c r="S75">
        <v>0</v>
      </c>
      <c r="T75">
        <v>10500</v>
      </c>
      <c r="U75" s="2" t="s">
        <v>29</v>
      </c>
      <c r="V75" s="4"/>
      <c r="W75">
        <v>0</v>
      </c>
      <c r="X75" s="1"/>
      <c r="Y75">
        <v>0</v>
      </c>
      <c r="Z75">
        <v>4</v>
      </c>
      <c r="AA75">
        <v>2025</v>
      </c>
      <c r="AB75" t="s">
        <v>453</v>
      </c>
      <c r="AC75" s="2" t="s">
        <v>39</v>
      </c>
    </row>
    <row r="76" spans="1:29" x14ac:dyDescent="0.25">
      <c r="A76" s="1">
        <v>45778</v>
      </c>
      <c r="B76" s="1"/>
      <c r="C76" s="2" t="s">
        <v>36</v>
      </c>
      <c r="D76" s="2" t="s">
        <v>28</v>
      </c>
      <c r="E76" s="3" t="s">
        <v>128</v>
      </c>
      <c r="F76" s="2" t="s">
        <v>168</v>
      </c>
      <c r="G76" s="2" t="s">
        <v>270</v>
      </c>
      <c r="H76" s="2" t="s">
        <v>45</v>
      </c>
      <c r="I76" s="2" t="s">
        <v>31</v>
      </c>
      <c r="J76" s="2" t="s">
        <v>29</v>
      </c>
      <c r="K76" s="2" t="s">
        <v>32</v>
      </c>
      <c r="L76" s="1">
        <v>45781</v>
      </c>
      <c r="M76" s="2" t="s">
        <v>29</v>
      </c>
      <c r="N76">
        <v>84</v>
      </c>
      <c r="O76" t="s">
        <v>446</v>
      </c>
      <c r="P76">
        <v>564.67999999999995</v>
      </c>
      <c r="Q76">
        <v>613.77</v>
      </c>
      <c r="R76">
        <v>0</v>
      </c>
      <c r="S76">
        <v>0</v>
      </c>
      <c r="T76">
        <v>0</v>
      </c>
      <c r="U76" s="2" t="s">
        <v>29</v>
      </c>
      <c r="V76" s="4"/>
      <c r="W76">
        <v>0</v>
      </c>
      <c r="X76" s="1"/>
      <c r="Y76">
        <v>0</v>
      </c>
      <c r="Z76">
        <v>5</v>
      </c>
      <c r="AA76">
        <v>2025</v>
      </c>
      <c r="AB76" t="s">
        <v>454</v>
      </c>
      <c r="AC76" s="2" t="s">
        <v>46</v>
      </c>
    </row>
    <row r="77" spans="1:29" x14ac:dyDescent="0.25">
      <c r="A77" s="1">
        <v>45779</v>
      </c>
      <c r="B77" s="1"/>
      <c r="C77" s="2" t="s">
        <v>36</v>
      </c>
      <c r="D77" s="2" t="s">
        <v>28</v>
      </c>
      <c r="E77" s="3" t="s">
        <v>129</v>
      </c>
      <c r="F77" s="2" t="s">
        <v>169</v>
      </c>
      <c r="G77" s="2" t="s">
        <v>271</v>
      </c>
      <c r="H77" s="2" t="s">
        <v>37</v>
      </c>
      <c r="I77" s="2" t="s">
        <v>31</v>
      </c>
      <c r="J77" s="2" t="s">
        <v>29</v>
      </c>
      <c r="K77" s="2" t="s">
        <v>32</v>
      </c>
      <c r="L77" s="1">
        <v>45782</v>
      </c>
      <c r="M77" s="2" t="s">
        <v>29</v>
      </c>
      <c r="N77">
        <v>27</v>
      </c>
      <c r="O77" t="s">
        <v>448</v>
      </c>
      <c r="P77">
        <v>564.67999999999995</v>
      </c>
      <c r="Q77">
        <v>613.77</v>
      </c>
      <c r="R77">
        <v>13095.46</v>
      </c>
      <c r="S77">
        <v>0</v>
      </c>
      <c r="T77">
        <v>13095.46</v>
      </c>
      <c r="U77" s="2" t="s">
        <v>29</v>
      </c>
      <c r="V77" s="4"/>
      <c r="W77">
        <v>0</v>
      </c>
      <c r="X77" s="1"/>
      <c r="Y77">
        <v>0</v>
      </c>
      <c r="Z77">
        <v>5</v>
      </c>
      <c r="AA77">
        <v>2025</v>
      </c>
      <c r="AB77" t="s">
        <v>454</v>
      </c>
      <c r="AC77" s="2" t="s">
        <v>39</v>
      </c>
    </row>
    <row r="78" spans="1:29" x14ac:dyDescent="0.25">
      <c r="A78" s="1">
        <v>45781</v>
      </c>
      <c r="B78" s="1"/>
      <c r="C78" s="2" t="s">
        <v>36</v>
      </c>
      <c r="D78" s="2" t="s">
        <v>28</v>
      </c>
      <c r="E78" s="3" t="s">
        <v>68</v>
      </c>
      <c r="F78" s="2" t="s">
        <v>146</v>
      </c>
      <c r="G78" s="2" t="s">
        <v>272</v>
      </c>
      <c r="H78" s="2" t="s">
        <v>30</v>
      </c>
      <c r="I78" s="2" t="s">
        <v>31</v>
      </c>
      <c r="J78" s="2" t="s">
        <v>29</v>
      </c>
      <c r="K78" s="2" t="s">
        <v>32</v>
      </c>
      <c r="L78" s="1">
        <v>45784</v>
      </c>
      <c r="M78" s="2" t="s">
        <v>29</v>
      </c>
      <c r="N78">
        <v>84</v>
      </c>
      <c r="O78" t="s">
        <v>446</v>
      </c>
      <c r="P78">
        <v>0</v>
      </c>
      <c r="Q78">
        <v>371.6</v>
      </c>
      <c r="R78">
        <v>0</v>
      </c>
      <c r="S78">
        <v>0</v>
      </c>
      <c r="T78">
        <v>0</v>
      </c>
      <c r="U78" s="2" t="s">
        <v>29</v>
      </c>
      <c r="V78" s="4"/>
      <c r="W78">
        <v>0</v>
      </c>
      <c r="X78" s="1"/>
      <c r="Y78">
        <v>0</v>
      </c>
      <c r="Z78">
        <v>5</v>
      </c>
      <c r="AA78">
        <v>2025</v>
      </c>
      <c r="AB78" t="s">
        <v>454</v>
      </c>
      <c r="AC78" s="2" t="s">
        <v>33</v>
      </c>
    </row>
    <row r="79" spans="1:29" x14ac:dyDescent="0.25">
      <c r="A79" s="1">
        <v>45783</v>
      </c>
      <c r="B79" s="1"/>
      <c r="C79" s="2" t="s">
        <v>44</v>
      </c>
      <c r="D79" s="2" t="s">
        <v>28</v>
      </c>
      <c r="E79" s="3" t="s">
        <v>69</v>
      </c>
      <c r="F79" s="2" t="s">
        <v>147</v>
      </c>
      <c r="G79" s="2" t="s">
        <v>273</v>
      </c>
      <c r="H79" s="2" t="s">
        <v>45</v>
      </c>
      <c r="I79" s="2" t="s">
        <v>31</v>
      </c>
      <c r="J79" s="2" t="s">
        <v>29</v>
      </c>
      <c r="K79" s="2" t="s">
        <v>38</v>
      </c>
      <c r="L79" s="1">
        <v>45786</v>
      </c>
      <c r="M79" s="2" t="s">
        <v>29</v>
      </c>
      <c r="N79">
        <v>84</v>
      </c>
      <c r="O79" t="s">
        <v>446</v>
      </c>
      <c r="P79">
        <v>101.1</v>
      </c>
      <c r="Q79">
        <v>103.27</v>
      </c>
      <c r="R79">
        <v>0</v>
      </c>
      <c r="S79">
        <v>0</v>
      </c>
      <c r="T79">
        <v>0</v>
      </c>
      <c r="U79" s="2" t="s">
        <v>29</v>
      </c>
      <c r="V79" s="4"/>
      <c r="W79">
        <v>0</v>
      </c>
      <c r="X79" s="1"/>
      <c r="Y79">
        <v>0</v>
      </c>
      <c r="Z79">
        <v>5</v>
      </c>
      <c r="AA79">
        <v>2025</v>
      </c>
      <c r="AB79" t="s">
        <v>454</v>
      </c>
      <c r="AC79" s="2" t="s">
        <v>46</v>
      </c>
    </row>
    <row r="80" spans="1:29" x14ac:dyDescent="0.25">
      <c r="A80" s="1">
        <v>45784</v>
      </c>
      <c r="B80" s="1"/>
      <c r="C80" s="2" t="s">
        <v>44</v>
      </c>
      <c r="D80" s="2" t="s">
        <v>28</v>
      </c>
      <c r="E80" s="3" t="s">
        <v>130</v>
      </c>
      <c r="F80" s="2" t="s">
        <v>187</v>
      </c>
      <c r="G80" s="2" t="s">
        <v>274</v>
      </c>
      <c r="H80" s="2" t="s">
        <v>37</v>
      </c>
      <c r="I80" s="2" t="s">
        <v>31</v>
      </c>
      <c r="J80" s="2" t="s">
        <v>29</v>
      </c>
      <c r="K80" s="2" t="s">
        <v>38</v>
      </c>
      <c r="L80" s="1">
        <v>45787</v>
      </c>
      <c r="M80" s="2" t="s">
        <v>29</v>
      </c>
      <c r="N80">
        <v>55</v>
      </c>
      <c r="O80" t="s">
        <v>448</v>
      </c>
      <c r="P80">
        <v>101.1</v>
      </c>
      <c r="Q80">
        <v>103.27</v>
      </c>
      <c r="R80">
        <v>4102.8100000000004</v>
      </c>
      <c r="S80">
        <v>0</v>
      </c>
      <c r="T80">
        <v>4102.8100000000004</v>
      </c>
      <c r="U80" s="2" t="s">
        <v>29</v>
      </c>
      <c r="V80" s="4"/>
      <c r="W80">
        <v>0</v>
      </c>
      <c r="X80" s="1"/>
      <c r="Y80">
        <v>0</v>
      </c>
      <c r="Z80">
        <v>5</v>
      </c>
      <c r="AA80">
        <v>2025</v>
      </c>
      <c r="AB80" t="s">
        <v>454</v>
      </c>
      <c r="AC80" s="2" t="s">
        <v>39</v>
      </c>
    </row>
    <row r="81" spans="1:29" x14ac:dyDescent="0.25">
      <c r="A81" s="1">
        <v>45786</v>
      </c>
      <c r="B81" s="1"/>
      <c r="C81" s="2" t="s">
        <v>44</v>
      </c>
      <c r="D81" s="2" t="s">
        <v>28</v>
      </c>
      <c r="E81" s="3" t="s">
        <v>71</v>
      </c>
      <c r="F81" s="2" t="s">
        <v>149</v>
      </c>
      <c r="G81" s="2" t="s">
        <v>275</v>
      </c>
      <c r="H81" s="2" t="s">
        <v>45</v>
      </c>
      <c r="I81" s="2" t="s">
        <v>31</v>
      </c>
      <c r="J81" s="2" t="s">
        <v>29</v>
      </c>
      <c r="K81" s="2" t="s">
        <v>38</v>
      </c>
      <c r="L81" s="1">
        <v>45789</v>
      </c>
      <c r="M81" s="2" t="s">
        <v>29</v>
      </c>
      <c r="N81">
        <v>84</v>
      </c>
      <c r="O81" t="s">
        <v>446</v>
      </c>
      <c r="P81">
        <v>546.48</v>
      </c>
      <c r="Q81">
        <v>558.20000000000005</v>
      </c>
      <c r="R81">
        <v>0</v>
      </c>
      <c r="S81">
        <v>0</v>
      </c>
      <c r="T81">
        <v>0</v>
      </c>
      <c r="U81" s="2" t="s">
        <v>29</v>
      </c>
      <c r="V81" s="4"/>
      <c r="W81">
        <v>0</v>
      </c>
      <c r="X81" s="1"/>
      <c r="Y81">
        <v>0</v>
      </c>
      <c r="Z81">
        <v>5</v>
      </c>
      <c r="AA81">
        <v>2025</v>
      </c>
      <c r="AB81" t="s">
        <v>454</v>
      </c>
      <c r="AC81" s="2" t="s">
        <v>46</v>
      </c>
    </row>
    <row r="82" spans="1:29" x14ac:dyDescent="0.25">
      <c r="A82" s="1">
        <v>45788</v>
      </c>
      <c r="B82" s="1"/>
      <c r="C82" s="2" t="s">
        <v>44</v>
      </c>
      <c r="D82" s="2" t="s">
        <v>28</v>
      </c>
      <c r="E82" s="3" t="s">
        <v>72</v>
      </c>
      <c r="F82" s="2" t="s">
        <v>150</v>
      </c>
      <c r="G82" s="2" t="s">
        <v>276</v>
      </c>
      <c r="H82" s="2" t="s">
        <v>37</v>
      </c>
      <c r="I82" s="2" t="s">
        <v>31</v>
      </c>
      <c r="J82" s="2" t="s">
        <v>29</v>
      </c>
      <c r="K82" s="2" t="s">
        <v>38</v>
      </c>
      <c r="L82" s="1">
        <v>45791</v>
      </c>
      <c r="M82" s="2" t="s">
        <v>29</v>
      </c>
      <c r="N82">
        <v>55</v>
      </c>
      <c r="O82" t="s">
        <v>448</v>
      </c>
      <c r="P82">
        <v>546.48</v>
      </c>
      <c r="Q82">
        <v>558.20000000000005</v>
      </c>
      <c r="R82">
        <v>22176.71</v>
      </c>
      <c r="S82">
        <v>0</v>
      </c>
      <c r="T82">
        <v>22176.71</v>
      </c>
      <c r="U82" s="2" t="s">
        <v>29</v>
      </c>
      <c r="V82" s="4"/>
      <c r="W82">
        <v>0</v>
      </c>
      <c r="X82" s="1"/>
      <c r="Y82">
        <v>0</v>
      </c>
      <c r="Z82">
        <v>5</v>
      </c>
      <c r="AA82">
        <v>2025</v>
      </c>
      <c r="AB82" t="s">
        <v>454</v>
      </c>
      <c r="AC82" s="2" t="s">
        <v>39</v>
      </c>
    </row>
    <row r="83" spans="1:29" x14ac:dyDescent="0.25">
      <c r="A83" s="1">
        <v>45789</v>
      </c>
      <c r="B83" s="1">
        <v>45796</v>
      </c>
      <c r="C83" s="2" t="s">
        <v>27</v>
      </c>
      <c r="D83" s="2" t="s">
        <v>28</v>
      </c>
      <c r="E83" s="3" t="s">
        <v>73</v>
      </c>
      <c r="F83" s="2" t="s">
        <v>151</v>
      </c>
      <c r="G83" s="2" t="s">
        <v>277</v>
      </c>
      <c r="H83" s="2" t="s">
        <v>45</v>
      </c>
      <c r="I83" s="2" t="s">
        <v>48</v>
      </c>
      <c r="J83" s="2" t="s">
        <v>29</v>
      </c>
      <c r="K83" s="2" t="s">
        <v>32</v>
      </c>
      <c r="L83" s="1">
        <v>45792</v>
      </c>
      <c r="M83" s="2" t="s">
        <v>29</v>
      </c>
      <c r="N83">
        <v>84</v>
      </c>
      <c r="O83" t="s">
        <v>446</v>
      </c>
      <c r="P83">
        <v>435</v>
      </c>
      <c r="Q83">
        <v>757.47</v>
      </c>
      <c r="R83">
        <v>0</v>
      </c>
      <c r="S83">
        <v>0</v>
      </c>
      <c r="T83">
        <v>0</v>
      </c>
      <c r="U83" s="2" t="s">
        <v>29</v>
      </c>
      <c r="V83" s="4"/>
      <c r="W83">
        <v>0</v>
      </c>
      <c r="X83" s="1"/>
      <c r="Y83">
        <v>0</v>
      </c>
      <c r="Z83">
        <v>5</v>
      </c>
      <c r="AA83">
        <v>2025</v>
      </c>
      <c r="AB83" t="s">
        <v>454</v>
      </c>
      <c r="AC83" s="2" t="s">
        <v>46</v>
      </c>
    </row>
    <row r="84" spans="1:29" x14ac:dyDescent="0.25">
      <c r="A84" s="1">
        <v>45791</v>
      </c>
      <c r="B84" s="1">
        <v>45798</v>
      </c>
      <c r="C84" s="2" t="s">
        <v>27</v>
      </c>
      <c r="D84" s="2" t="s">
        <v>28</v>
      </c>
      <c r="E84" s="3" t="s">
        <v>74</v>
      </c>
      <c r="F84" s="2" t="s">
        <v>152</v>
      </c>
      <c r="G84" s="2" t="s">
        <v>278</v>
      </c>
      <c r="H84" s="2" t="s">
        <v>37</v>
      </c>
      <c r="I84" s="2" t="s">
        <v>48</v>
      </c>
      <c r="J84" s="2" t="s">
        <v>29</v>
      </c>
      <c r="K84" s="2" t="s">
        <v>32</v>
      </c>
      <c r="L84" s="1">
        <v>45794</v>
      </c>
      <c r="M84" s="2" t="s">
        <v>29</v>
      </c>
      <c r="N84">
        <v>38</v>
      </c>
      <c r="O84" t="s">
        <v>448</v>
      </c>
      <c r="P84">
        <v>756.32</v>
      </c>
      <c r="Q84">
        <v>757.47</v>
      </c>
      <c r="R84">
        <v>0</v>
      </c>
      <c r="S84">
        <v>0</v>
      </c>
      <c r="T84">
        <v>0</v>
      </c>
      <c r="U84" s="2" t="s">
        <v>29</v>
      </c>
      <c r="V84" s="4"/>
      <c r="W84">
        <v>0</v>
      </c>
      <c r="X84" s="1"/>
      <c r="Y84">
        <v>0</v>
      </c>
      <c r="Z84">
        <v>5</v>
      </c>
      <c r="AA84">
        <v>2025</v>
      </c>
      <c r="AB84" t="s">
        <v>454</v>
      </c>
      <c r="AC84" s="2" t="s">
        <v>39</v>
      </c>
    </row>
    <row r="85" spans="1:29" x14ac:dyDescent="0.25">
      <c r="A85" s="1">
        <v>45793</v>
      </c>
      <c r="B85" s="1"/>
      <c r="C85" s="2" t="s">
        <v>40</v>
      </c>
      <c r="D85" s="2" t="s">
        <v>28</v>
      </c>
      <c r="E85" s="3" t="s">
        <v>75</v>
      </c>
      <c r="F85" s="2" t="s">
        <v>153</v>
      </c>
      <c r="G85" s="2" t="s">
        <v>279</v>
      </c>
      <c r="H85" s="2" t="s">
        <v>45</v>
      </c>
      <c r="I85" s="2" t="s">
        <v>47</v>
      </c>
      <c r="J85" s="2" t="s">
        <v>29</v>
      </c>
      <c r="K85" s="2" t="s">
        <v>38</v>
      </c>
      <c r="L85" s="1">
        <v>45796</v>
      </c>
      <c r="M85" s="2" t="s">
        <v>29</v>
      </c>
      <c r="N85">
        <v>84</v>
      </c>
      <c r="O85" t="s">
        <v>446</v>
      </c>
      <c r="P85">
        <v>230</v>
      </c>
      <c r="Q85">
        <v>312.82</v>
      </c>
      <c r="R85">
        <v>11600</v>
      </c>
      <c r="S85">
        <v>11355.39</v>
      </c>
      <c r="T85">
        <v>244.61</v>
      </c>
      <c r="U85" s="2" t="s">
        <v>29</v>
      </c>
      <c r="V85" s="4"/>
      <c r="W85">
        <v>0</v>
      </c>
      <c r="X85" s="1"/>
      <c r="Y85">
        <v>0</v>
      </c>
      <c r="Z85">
        <v>5</v>
      </c>
      <c r="AA85">
        <v>2025</v>
      </c>
      <c r="AB85" t="s">
        <v>454</v>
      </c>
      <c r="AC85" s="2" t="s">
        <v>46</v>
      </c>
    </row>
    <row r="86" spans="1:29" x14ac:dyDescent="0.25">
      <c r="A86" s="1">
        <v>45794</v>
      </c>
      <c r="B86" s="1"/>
      <c r="C86" s="2" t="s">
        <v>40</v>
      </c>
      <c r="D86" s="2" t="s">
        <v>28</v>
      </c>
      <c r="E86" s="3" t="s">
        <v>125</v>
      </c>
      <c r="F86" s="2" t="s">
        <v>185</v>
      </c>
      <c r="G86" s="2" t="s">
        <v>280</v>
      </c>
      <c r="H86" s="2" t="s">
        <v>37</v>
      </c>
      <c r="I86" s="2" t="s">
        <v>47</v>
      </c>
      <c r="J86" s="2" t="s">
        <v>29</v>
      </c>
      <c r="K86" s="2" t="s">
        <v>38</v>
      </c>
      <c r="L86" s="1">
        <v>45797</v>
      </c>
      <c r="M86" s="2" t="s">
        <v>29</v>
      </c>
      <c r="N86">
        <v>61</v>
      </c>
      <c r="O86" t="s">
        <v>446</v>
      </c>
      <c r="P86">
        <v>270.60000000000002</v>
      </c>
      <c r="Q86">
        <v>312.82</v>
      </c>
      <c r="R86">
        <v>11355.39</v>
      </c>
      <c r="S86">
        <v>0</v>
      </c>
      <c r="T86">
        <v>11355.39</v>
      </c>
      <c r="U86" s="2" t="s">
        <v>29</v>
      </c>
      <c r="V86" s="4"/>
      <c r="W86">
        <v>0</v>
      </c>
      <c r="X86" s="1"/>
      <c r="Y86">
        <v>0</v>
      </c>
      <c r="Z86">
        <v>5</v>
      </c>
      <c r="AA86">
        <v>2025</v>
      </c>
      <c r="AB86" t="s">
        <v>454</v>
      </c>
      <c r="AC86" s="2" t="s">
        <v>39</v>
      </c>
    </row>
    <row r="87" spans="1:29" x14ac:dyDescent="0.25">
      <c r="A87" s="1">
        <v>45796</v>
      </c>
      <c r="B87" s="1"/>
      <c r="C87" s="2" t="s">
        <v>27</v>
      </c>
      <c r="D87" s="2" t="s">
        <v>28</v>
      </c>
      <c r="E87" s="3" t="s">
        <v>77</v>
      </c>
      <c r="F87" s="2" t="s">
        <v>155</v>
      </c>
      <c r="G87" s="2" t="s">
        <v>281</v>
      </c>
      <c r="H87" s="2" t="s">
        <v>45</v>
      </c>
      <c r="I87" s="2" t="s">
        <v>47</v>
      </c>
      <c r="J87" s="2" t="s">
        <v>29</v>
      </c>
      <c r="K87" s="2" t="s">
        <v>32</v>
      </c>
      <c r="L87" s="1">
        <v>45799</v>
      </c>
      <c r="M87" s="2" t="s">
        <v>29</v>
      </c>
      <c r="N87">
        <v>32</v>
      </c>
      <c r="O87" t="s">
        <v>448</v>
      </c>
      <c r="P87">
        <v>295</v>
      </c>
      <c r="Q87">
        <v>587.21</v>
      </c>
      <c r="R87">
        <v>0</v>
      </c>
      <c r="S87">
        <v>14599.77</v>
      </c>
      <c r="T87">
        <v>-14599.77</v>
      </c>
      <c r="U87" s="2" t="s">
        <v>29</v>
      </c>
      <c r="V87" s="4"/>
      <c r="W87">
        <v>0</v>
      </c>
      <c r="X87" s="1"/>
      <c r="Y87">
        <v>0</v>
      </c>
      <c r="Z87">
        <v>5</v>
      </c>
      <c r="AA87">
        <v>2025</v>
      </c>
      <c r="AB87" t="s">
        <v>454</v>
      </c>
      <c r="AC87" s="2" t="s">
        <v>46</v>
      </c>
    </row>
    <row r="88" spans="1:29" x14ac:dyDescent="0.25">
      <c r="A88" s="1">
        <v>45798</v>
      </c>
      <c r="B88" s="1"/>
      <c r="C88" s="2" t="s">
        <v>27</v>
      </c>
      <c r="D88" s="2" t="s">
        <v>28</v>
      </c>
      <c r="E88" s="3" t="s">
        <v>131</v>
      </c>
      <c r="F88" s="2" t="s">
        <v>188</v>
      </c>
      <c r="G88" s="2" t="s">
        <v>282</v>
      </c>
      <c r="H88" s="2" t="s">
        <v>37</v>
      </c>
      <c r="I88" s="2" t="s">
        <v>47</v>
      </c>
      <c r="J88" s="2" t="s">
        <v>29</v>
      </c>
      <c r="K88" s="2" t="s">
        <v>32</v>
      </c>
      <c r="L88" s="1">
        <v>45801</v>
      </c>
      <c r="M88" s="2" t="s">
        <v>29</v>
      </c>
      <c r="N88">
        <v>32</v>
      </c>
      <c r="O88" t="s">
        <v>448</v>
      </c>
      <c r="P88">
        <v>560.99</v>
      </c>
      <c r="Q88">
        <v>587.21</v>
      </c>
      <c r="R88">
        <v>14599.77</v>
      </c>
      <c r="S88">
        <v>0</v>
      </c>
      <c r="T88">
        <v>14599.77</v>
      </c>
      <c r="U88" s="2" t="s">
        <v>29</v>
      </c>
      <c r="V88" s="4"/>
      <c r="W88">
        <v>0</v>
      </c>
      <c r="X88" s="1"/>
      <c r="Y88">
        <v>0</v>
      </c>
      <c r="Z88">
        <v>5</v>
      </c>
      <c r="AA88">
        <v>2025</v>
      </c>
      <c r="AB88" t="s">
        <v>454</v>
      </c>
      <c r="AC88" s="2" t="s">
        <v>39</v>
      </c>
    </row>
    <row r="89" spans="1:29" x14ac:dyDescent="0.25">
      <c r="A89" s="1">
        <v>45799</v>
      </c>
      <c r="B89" s="1"/>
      <c r="C89" s="2" t="s">
        <v>27</v>
      </c>
      <c r="D89" s="2" t="s">
        <v>28</v>
      </c>
      <c r="E89" s="3" t="s">
        <v>70</v>
      </c>
      <c r="F89" s="2" t="s">
        <v>148</v>
      </c>
      <c r="G89" s="2" t="s">
        <v>283</v>
      </c>
      <c r="H89" s="2" t="s">
        <v>58</v>
      </c>
      <c r="I89" s="2" t="s">
        <v>47</v>
      </c>
      <c r="J89" s="2" t="s">
        <v>29</v>
      </c>
      <c r="K89" s="2" t="s">
        <v>32</v>
      </c>
      <c r="L89" s="1">
        <v>45802</v>
      </c>
      <c r="M89" s="2" t="s">
        <v>29</v>
      </c>
      <c r="N89">
        <v>84</v>
      </c>
      <c r="O89" t="s">
        <v>446</v>
      </c>
      <c r="P89">
        <v>0</v>
      </c>
      <c r="Q89">
        <v>42.35</v>
      </c>
      <c r="R89">
        <v>1750.88</v>
      </c>
      <c r="S89">
        <v>0</v>
      </c>
      <c r="T89">
        <v>1750.88</v>
      </c>
      <c r="U89" s="2" t="s">
        <v>29</v>
      </c>
      <c r="V89" s="4"/>
      <c r="W89">
        <v>0</v>
      </c>
      <c r="X89" s="1"/>
      <c r="Y89">
        <v>0</v>
      </c>
      <c r="Z89">
        <v>5</v>
      </c>
      <c r="AA89">
        <v>2025</v>
      </c>
      <c r="AB89" t="s">
        <v>454</v>
      </c>
      <c r="AC89" s="2" t="s">
        <v>58</v>
      </c>
    </row>
    <row r="90" spans="1:29" x14ac:dyDescent="0.25">
      <c r="A90" s="1">
        <v>45801</v>
      </c>
      <c r="B90" s="1"/>
      <c r="C90" s="2" t="s">
        <v>27</v>
      </c>
      <c r="D90" s="2" t="s">
        <v>28</v>
      </c>
      <c r="E90" s="3" t="s">
        <v>80</v>
      </c>
      <c r="F90" s="2" t="s">
        <v>158</v>
      </c>
      <c r="G90" s="2" t="s">
        <v>284</v>
      </c>
      <c r="H90" s="2" t="s">
        <v>30</v>
      </c>
      <c r="I90" s="2" t="s">
        <v>47</v>
      </c>
      <c r="J90" s="2" t="s">
        <v>29</v>
      </c>
      <c r="K90" s="2" t="s">
        <v>32</v>
      </c>
      <c r="L90" s="1">
        <v>45804</v>
      </c>
      <c r="M90" s="2" t="s">
        <v>29</v>
      </c>
      <c r="N90">
        <v>84</v>
      </c>
      <c r="O90" t="s">
        <v>446</v>
      </c>
      <c r="P90">
        <v>0</v>
      </c>
      <c r="Q90">
        <v>253.9</v>
      </c>
      <c r="R90">
        <v>10497.1</v>
      </c>
      <c r="S90">
        <v>0</v>
      </c>
      <c r="T90">
        <v>10497.1</v>
      </c>
      <c r="U90" s="2" t="s">
        <v>29</v>
      </c>
      <c r="V90" s="4"/>
      <c r="W90">
        <v>0</v>
      </c>
      <c r="X90" s="1"/>
      <c r="Y90">
        <v>0</v>
      </c>
      <c r="Z90">
        <v>5</v>
      </c>
      <c r="AA90">
        <v>2025</v>
      </c>
      <c r="AB90" t="s">
        <v>454</v>
      </c>
      <c r="AC90" s="2" t="s">
        <v>33</v>
      </c>
    </row>
    <row r="91" spans="1:29" x14ac:dyDescent="0.25">
      <c r="A91" s="1">
        <v>45803</v>
      </c>
      <c r="B91" s="1"/>
      <c r="C91" s="2" t="s">
        <v>27</v>
      </c>
      <c r="D91" s="2" t="s">
        <v>28</v>
      </c>
      <c r="E91" s="3" t="s">
        <v>79</v>
      </c>
      <c r="F91" s="2" t="s">
        <v>157</v>
      </c>
      <c r="G91" s="2" t="s">
        <v>285</v>
      </c>
      <c r="H91" s="2" t="s">
        <v>45</v>
      </c>
      <c r="I91" s="2" t="s">
        <v>47</v>
      </c>
      <c r="J91" s="2" t="s">
        <v>29</v>
      </c>
      <c r="K91" s="2" t="s">
        <v>32</v>
      </c>
      <c r="L91" s="1">
        <v>45806</v>
      </c>
      <c r="M91" s="2" t="s">
        <v>29</v>
      </c>
      <c r="N91">
        <v>84</v>
      </c>
      <c r="O91" t="s">
        <v>446</v>
      </c>
      <c r="P91">
        <v>235.45</v>
      </c>
      <c r="Q91">
        <v>489.35</v>
      </c>
      <c r="R91">
        <v>0</v>
      </c>
      <c r="S91">
        <v>0</v>
      </c>
      <c r="T91">
        <v>0</v>
      </c>
      <c r="U91" s="2" t="s">
        <v>29</v>
      </c>
      <c r="V91" s="4"/>
      <c r="W91">
        <v>0</v>
      </c>
      <c r="X91" s="1"/>
      <c r="Y91">
        <v>0</v>
      </c>
      <c r="Z91">
        <v>5</v>
      </c>
      <c r="AA91">
        <v>2025</v>
      </c>
      <c r="AB91" t="s">
        <v>454</v>
      </c>
      <c r="AC91" s="2" t="s">
        <v>46</v>
      </c>
    </row>
    <row r="92" spans="1:29" x14ac:dyDescent="0.25">
      <c r="A92" s="1">
        <v>45804</v>
      </c>
      <c r="B92" s="1"/>
      <c r="C92" s="2" t="s">
        <v>27</v>
      </c>
      <c r="D92" s="2" t="s">
        <v>28</v>
      </c>
      <c r="E92" s="3" t="s">
        <v>125</v>
      </c>
      <c r="F92" s="2" t="s">
        <v>185</v>
      </c>
      <c r="G92" s="2" t="s">
        <v>286</v>
      </c>
      <c r="H92" s="2" t="s">
        <v>37</v>
      </c>
      <c r="I92" s="2" t="s">
        <v>47</v>
      </c>
      <c r="J92" s="2" t="s">
        <v>29</v>
      </c>
      <c r="K92" s="2" t="s">
        <v>32</v>
      </c>
      <c r="L92" s="1">
        <v>45807</v>
      </c>
      <c r="M92" s="2" t="s">
        <v>29</v>
      </c>
      <c r="N92">
        <v>31</v>
      </c>
      <c r="O92" t="s">
        <v>448</v>
      </c>
      <c r="P92">
        <v>451.47</v>
      </c>
      <c r="Q92">
        <v>489.35</v>
      </c>
      <c r="R92">
        <v>11573.25</v>
      </c>
      <c r="S92">
        <v>0</v>
      </c>
      <c r="T92">
        <v>11573.25</v>
      </c>
      <c r="U92" s="2" t="s">
        <v>29</v>
      </c>
      <c r="V92" s="4"/>
      <c r="W92">
        <v>0</v>
      </c>
      <c r="X92" s="1"/>
      <c r="Y92">
        <v>0</v>
      </c>
      <c r="Z92">
        <v>5</v>
      </c>
      <c r="AA92">
        <v>2025</v>
      </c>
      <c r="AB92" t="s">
        <v>454</v>
      </c>
      <c r="AC92" s="2" t="s">
        <v>39</v>
      </c>
    </row>
    <row r="93" spans="1:29" x14ac:dyDescent="0.25">
      <c r="A93" s="1">
        <v>45806</v>
      </c>
      <c r="B93" s="1"/>
      <c r="C93" s="2" t="s">
        <v>44</v>
      </c>
      <c r="D93" s="2" t="s">
        <v>28</v>
      </c>
      <c r="E93" s="3" t="s">
        <v>81</v>
      </c>
      <c r="F93" s="2" t="s">
        <v>159</v>
      </c>
      <c r="G93" s="2" t="s">
        <v>287</v>
      </c>
      <c r="H93" s="2" t="s">
        <v>45</v>
      </c>
      <c r="I93" s="2" t="s">
        <v>47</v>
      </c>
      <c r="J93" s="2" t="s">
        <v>29</v>
      </c>
      <c r="K93" s="2" t="s">
        <v>38</v>
      </c>
      <c r="L93" s="1">
        <v>45809</v>
      </c>
      <c r="M93" s="2" t="s">
        <v>29</v>
      </c>
      <c r="N93">
        <v>84</v>
      </c>
      <c r="O93" t="s">
        <v>446</v>
      </c>
      <c r="P93">
        <v>282</v>
      </c>
      <c r="Q93">
        <v>640.76</v>
      </c>
      <c r="R93">
        <v>14374.98</v>
      </c>
      <c r="S93">
        <v>14093.16</v>
      </c>
      <c r="T93">
        <v>281.82</v>
      </c>
      <c r="U93" s="2" t="s">
        <v>29</v>
      </c>
      <c r="V93" s="4"/>
      <c r="W93">
        <v>0</v>
      </c>
      <c r="X93" s="1"/>
      <c r="Y93">
        <v>0</v>
      </c>
      <c r="Z93">
        <v>5</v>
      </c>
      <c r="AA93">
        <v>2025</v>
      </c>
      <c r="AB93" t="s">
        <v>454</v>
      </c>
      <c r="AC93" s="2" t="s">
        <v>46</v>
      </c>
    </row>
    <row r="94" spans="1:29" x14ac:dyDescent="0.25">
      <c r="A94" s="1">
        <v>45808</v>
      </c>
      <c r="B94" s="1"/>
      <c r="C94" s="2" t="s">
        <v>44</v>
      </c>
      <c r="D94" s="2" t="s">
        <v>28</v>
      </c>
      <c r="E94" s="3" t="s">
        <v>90</v>
      </c>
      <c r="F94" s="2" t="s">
        <v>168</v>
      </c>
      <c r="G94" s="2" t="s">
        <v>288</v>
      </c>
      <c r="H94" s="2" t="s">
        <v>37</v>
      </c>
      <c r="I94" s="2" t="s">
        <v>47</v>
      </c>
      <c r="J94" s="2" t="s">
        <v>29</v>
      </c>
      <c r="K94" s="2" t="s">
        <v>38</v>
      </c>
      <c r="L94" s="1">
        <v>45811</v>
      </c>
      <c r="M94" s="2" t="s">
        <v>29</v>
      </c>
      <c r="N94">
        <v>27</v>
      </c>
      <c r="O94" t="s">
        <v>448</v>
      </c>
      <c r="P94">
        <v>622.84</v>
      </c>
      <c r="Q94">
        <v>640.76</v>
      </c>
      <c r="R94">
        <v>14093.16</v>
      </c>
      <c r="S94">
        <v>0</v>
      </c>
      <c r="T94">
        <v>14093.16</v>
      </c>
      <c r="U94" s="2" t="s">
        <v>29</v>
      </c>
      <c r="V94" s="4"/>
      <c r="W94">
        <v>0</v>
      </c>
      <c r="X94" s="1"/>
      <c r="Y94">
        <v>0</v>
      </c>
      <c r="Z94">
        <v>5</v>
      </c>
      <c r="AA94">
        <v>2025</v>
      </c>
      <c r="AB94" t="s">
        <v>454</v>
      </c>
      <c r="AC94" s="2" t="s">
        <v>39</v>
      </c>
    </row>
    <row r="95" spans="1:29" x14ac:dyDescent="0.25">
      <c r="A95" s="1">
        <v>45809</v>
      </c>
      <c r="B95" s="1"/>
      <c r="C95" s="2" t="s">
        <v>27</v>
      </c>
      <c r="D95" s="2" t="s">
        <v>28</v>
      </c>
      <c r="E95" s="3" t="s">
        <v>89</v>
      </c>
      <c r="F95" s="2" t="s">
        <v>167</v>
      </c>
      <c r="G95" s="2" t="s">
        <v>289</v>
      </c>
      <c r="H95" s="2" t="s">
        <v>45</v>
      </c>
      <c r="I95" s="2" t="s">
        <v>47</v>
      </c>
      <c r="J95" s="2" t="s">
        <v>29</v>
      </c>
      <c r="K95" s="2" t="s">
        <v>38</v>
      </c>
      <c r="L95" s="1">
        <v>45812</v>
      </c>
      <c r="M95" s="2" t="s">
        <v>29</v>
      </c>
      <c r="N95">
        <v>84</v>
      </c>
      <c r="O95" t="s">
        <v>446</v>
      </c>
      <c r="P95">
        <v>243.96</v>
      </c>
      <c r="Q95">
        <v>465.89</v>
      </c>
      <c r="R95">
        <v>12300</v>
      </c>
      <c r="S95">
        <v>11900</v>
      </c>
      <c r="T95">
        <v>400</v>
      </c>
      <c r="U95" s="2" t="s">
        <v>29</v>
      </c>
      <c r="V95" s="4"/>
      <c r="W95">
        <v>0</v>
      </c>
      <c r="X95" s="1"/>
      <c r="Y95">
        <v>0</v>
      </c>
      <c r="Z95">
        <v>6</v>
      </c>
      <c r="AA95">
        <v>2025</v>
      </c>
      <c r="AB95" t="s">
        <v>455</v>
      </c>
      <c r="AC95" s="2" t="s">
        <v>46</v>
      </c>
    </row>
    <row r="96" spans="1:29" x14ac:dyDescent="0.25">
      <c r="A96" s="1">
        <v>45811</v>
      </c>
      <c r="B96" s="1"/>
      <c r="C96" s="2" t="s">
        <v>27</v>
      </c>
      <c r="D96" s="2" t="s">
        <v>28</v>
      </c>
      <c r="E96" s="3" t="s">
        <v>83</v>
      </c>
      <c r="F96" s="2" t="s">
        <v>161</v>
      </c>
      <c r="G96" s="2" t="s">
        <v>290</v>
      </c>
      <c r="H96" s="2" t="s">
        <v>37</v>
      </c>
      <c r="I96" s="2" t="s">
        <v>47</v>
      </c>
      <c r="J96" s="2" t="s">
        <v>29</v>
      </c>
      <c r="K96" s="2" t="s">
        <v>38</v>
      </c>
      <c r="L96" s="1">
        <v>45814</v>
      </c>
      <c r="M96" s="2" t="s">
        <v>29</v>
      </c>
      <c r="N96">
        <v>31</v>
      </c>
      <c r="O96" t="s">
        <v>448</v>
      </c>
      <c r="P96">
        <v>464.21</v>
      </c>
      <c r="Q96">
        <v>465.89</v>
      </c>
      <c r="R96">
        <v>11900</v>
      </c>
      <c r="S96">
        <v>0</v>
      </c>
      <c r="T96">
        <v>11900</v>
      </c>
      <c r="U96" s="2" t="s">
        <v>29</v>
      </c>
      <c r="V96" s="4"/>
      <c r="W96">
        <v>0</v>
      </c>
      <c r="X96" s="1"/>
      <c r="Y96">
        <v>0</v>
      </c>
      <c r="Z96">
        <v>6</v>
      </c>
      <c r="AA96">
        <v>2025</v>
      </c>
      <c r="AB96" t="s">
        <v>455</v>
      </c>
      <c r="AC96" s="2" t="s">
        <v>39</v>
      </c>
    </row>
    <row r="97" spans="1:29" x14ac:dyDescent="0.25">
      <c r="A97" s="1">
        <v>45813</v>
      </c>
      <c r="B97" s="1"/>
      <c r="C97" s="2" t="s">
        <v>27</v>
      </c>
      <c r="D97" s="2" t="s">
        <v>28</v>
      </c>
      <c r="E97" s="3" t="s">
        <v>84</v>
      </c>
      <c r="F97" s="2" t="s">
        <v>162</v>
      </c>
      <c r="G97" s="2" t="s">
        <v>291</v>
      </c>
      <c r="H97" s="2" t="s">
        <v>58</v>
      </c>
      <c r="I97" s="2" t="s">
        <v>47</v>
      </c>
      <c r="J97" s="2" t="s">
        <v>29</v>
      </c>
      <c r="K97" s="2" t="s">
        <v>32</v>
      </c>
      <c r="L97" s="1">
        <v>45816</v>
      </c>
      <c r="M97" s="2" t="s">
        <v>29</v>
      </c>
      <c r="N97">
        <v>84</v>
      </c>
      <c r="O97" t="s">
        <v>446</v>
      </c>
      <c r="P97">
        <v>0</v>
      </c>
      <c r="Q97">
        <v>91.45</v>
      </c>
      <c r="R97">
        <v>3947.85</v>
      </c>
      <c r="S97">
        <v>0</v>
      </c>
      <c r="T97">
        <v>3947.85</v>
      </c>
      <c r="U97" s="2" t="s">
        <v>29</v>
      </c>
      <c r="V97" s="4"/>
      <c r="W97">
        <v>0</v>
      </c>
      <c r="X97" s="1"/>
      <c r="Y97">
        <v>0</v>
      </c>
      <c r="Z97">
        <v>6</v>
      </c>
      <c r="AA97">
        <v>2025</v>
      </c>
      <c r="AB97" t="s">
        <v>455</v>
      </c>
      <c r="AC97" s="2" t="s">
        <v>58</v>
      </c>
    </row>
    <row r="98" spans="1:29" x14ac:dyDescent="0.25">
      <c r="A98" s="1">
        <v>45814</v>
      </c>
      <c r="B98" s="1"/>
      <c r="C98" s="2" t="s">
        <v>27</v>
      </c>
      <c r="D98" s="2" t="s">
        <v>28</v>
      </c>
      <c r="E98" s="3" t="s">
        <v>85</v>
      </c>
      <c r="F98" s="2" t="s">
        <v>163</v>
      </c>
      <c r="G98" s="2" t="s">
        <v>292</v>
      </c>
      <c r="H98" s="2" t="s">
        <v>30</v>
      </c>
      <c r="I98" s="2" t="s">
        <v>47</v>
      </c>
      <c r="J98" s="2" t="s">
        <v>29</v>
      </c>
      <c r="K98" s="2" t="s">
        <v>32</v>
      </c>
      <c r="L98" s="1">
        <v>45817</v>
      </c>
      <c r="M98" s="2" t="s">
        <v>29</v>
      </c>
      <c r="N98">
        <v>84</v>
      </c>
      <c r="O98" t="s">
        <v>446</v>
      </c>
      <c r="P98">
        <v>0</v>
      </c>
      <c r="Q98">
        <v>90.45</v>
      </c>
      <c r="R98">
        <v>3739.48</v>
      </c>
      <c r="S98">
        <v>0</v>
      </c>
      <c r="T98">
        <v>3739.48</v>
      </c>
      <c r="U98" s="2" t="s">
        <v>29</v>
      </c>
      <c r="V98" s="4"/>
      <c r="W98">
        <v>0</v>
      </c>
      <c r="X98" s="1"/>
      <c r="Y98">
        <v>0</v>
      </c>
      <c r="Z98">
        <v>6</v>
      </c>
      <c r="AA98">
        <v>2025</v>
      </c>
      <c r="AB98" t="s">
        <v>455</v>
      </c>
      <c r="AC98" s="2" t="s">
        <v>33</v>
      </c>
    </row>
    <row r="99" spans="1:29" x14ac:dyDescent="0.25">
      <c r="A99" s="1">
        <v>45816</v>
      </c>
      <c r="B99" s="1"/>
      <c r="C99" s="2" t="s">
        <v>27</v>
      </c>
      <c r="D99" s="2" t="s">
        <v>28</v>
      </c>
      <c r="E99" s="3" t="s">
        <v>92</v>
      </c>
      <c r="F99" s="2" t="s">
        <v>170</v>
      </c>
      <c r="G99" s="2" t="s">
        <v>293</v>
      </c>
      <c r="H99" s="2" t="s">
        <v>45</v>
      </c>
      <c r="I99" s="2" t="s">
        <v>47</v>
      </c>
      <c r="J99" s="2" t="s">
        <v>29</v>
      </c>
      <c r="K99" s="2" t="s">
        <v>32</v>
      </c>
      <c r="L99" s="1">
        <v>45819</v>
      </c>
      <c r="M99" s="2" t="s">
        <v>29</v>
      </c>
      <c r="N99">
        <v>84</v>
      </c>
      <c r="O99" t="s">
        <v>446</v>
      </c>
      <c r="P99">
        <v>240.25</v>
      </c>
      <c r="Q99">
        <v>330.73</v>
      </c>
      <c r="R99">
        <v>0</v>
      </c>
      <c r="S99">
        <v>0</v>
      </c>
      <c r="T99">
        <v>0</v>
      </c>
      <c r="U99" s="2" t="s">
        <v>29</v>
      </c>
      <c r="V99" s="4"/>
      <c r="W99">
        <v>0</v>
      </c>
      <c r="X99" s="1"/>
      <c r="Y99">
        <v>0</v>
      </c>
      <c r="Z99">
        <v>6</v>
      </c>
      <c r="AA99">
        <v>2025</v>
      </c>
      <c r="AB99" t="s">
        <v>455</v>
      </c>
      <c r="AC99" s="2" t="s">
        <v>46</v>
      </c>
    </row>
    <row r="100" spans="1:29" x14ac:dyDescent="0.25">
      <c r="A100" s="1">
        <v>45817</v>
      </c>
      <c r="B100" s="1"/>
      <c r="C100" s="2" t="s">
        <v>27</v>
      </c>
      <c r="D100" s="2" t="s">
        <v>28</v>
      </c>
      <c r="E100" s="3" t="s">
        <v>89</v>
      </c>
      <c r="F100" s="2" t="s">
        <v>167</v>
      </c>
      <c r="G100" s="2" t="s">
        <v>294</v>
      </c>
      <c r="H100" s="2" t="s">
        <v>37</v>
      </c>
      <c r="I100" s="2" t="s">
        <v>47</v>
      </c>
      <c r="J100" s="2" t="s">
        <v>29</v>
      </c>
      <c r="K100" s="2" t="s">
        <v>32</v>
      </c>
      <c r="L100" s="1">
        <v>45820</v>
      </c>
      <c r="M100" s="2" t="s">
        <v>29</v>
      </c>
      <c r="N100">
        <v>51</v>
      </c>
      <c r="O100" t="s">
        <v>448</v>
      </c>
      <c r="P100">
        <v>13.08</v>
      </c>
      <c r="Q100">
        <v>330.73</v>
      </c>
      <c r="R100">
        <v>11815.06</v>
      </c>
      <c r="S100">
        <v>0</v>
      </c>
      <c r="T100">
        <v>11815.06</v>
      </c>
      <c r="U100" s="2" t="s">
        <v>29</v>
      </c>
      <c r="V100" s="4"/>
      <c r="W100">
        <v>0</v>
      </c>
      <c r="X100" s="1"/>
      <c r="Y100">
        <v>0</v>
      </c>
      <c r="Z100">
        <v>6</v>
      </c>
      <c r="AA100">
        <v>2025</v>
      </c>
      <c r="AB100" t="s">
        <v>455</v>
      </c>
      <c r="AC100" s="2" t="s">
        <v>39</v>
      </c>
    </row>
    <row r="101" spans="1:29" x14ac:dyDescent="0.25">
      <c r="A101" s="1">
        <v>45819</v>
      </c>
      <c r="B101" s="1"/>
      <c r="C101" s="2" t="s">
        <v>41</v>
      </c>
      <c r="D101" s="2" t="s">
        <v>28</v>
      </c>
      <c r="E101" s="3" t="s">
        <v>69</v>
      </c>
      <c r="F101" s="2" t="s">
        <v>147</v>
      </c>
      <c r="G101" s="2" t="s">
        <v>295</v>
      </c>
      <c r="H101" s="2" t="s">
        <v>45</v>
      </c>
      <c r="I101" s="2" t="s">
        <v>47</v>
      </c>
      <c r="J101" s="2" t="s">
        <v>29</v>
      </c>
      <c r="K101" s="2" t="s">
        <v>38</v>
      </c>
      <c r="L101" s="1">
        <v>45822</v>
      </c>
      <c r="M101" s="2" t="s">
        <v>29</v>
      </c>
      <c r="N101">
        <v>84</v>
      </c>
      <c r="O101" t="s">
        <v>446</v>
      </c>
      <c r="P101">
        <v>264.76</v>
      </c>
      <c r="Q101">
        <v>361</v>
      </c>
      <c r="R101">
        <v>13353.12</v>
      </c>
      <c r="S101">
        <v>13053.12</v>
      </c>
      <c r="T101">
        <v>300</v>
      </c>
      <c r="U101" s="2" t="s">
        <v>29</v>
      </c>
      <c r="V101" s="4"/>
      <c r="W101">
        <v>0</v>
      </c>
      <c r="X101" s="1"/>
      <c r="Y101">
        <v>0</v>
      </c>
      <c r="Z101">
        <v>6</v>
      </c>
      <c r="AA101">
        <v>2025</v>
      </c>
      <c r="AB101" t="s">
        <v>455</v>
      </c>
      <c r="AC101" s="2" t="s">
        <v>46</v>
      </c>
    </row>
    <row r="102" spans="1:29" x14ac:dyDescent="0.25">
      <c r="A102" s="1">
        <v>45821</v>
      </c>
      <c r="B102" s="1"/>
      <c r="C102" s="2" t="s">
        <v>41</v>
      </c>
      <c r="D102" s="2" t="s">
        <v>28</v>
      </c>
      <c r="E102" s="3" t="s">
        <v>87</v>
      </c>
      <c r="F102" s="2" t="s">
        <v>165</v>
      </c>
      <c r="G102" s="2" t="s">
        <v>296</v>
      </c>
      <c r="H102" s="2" t="s">
        <v>37</v>
      </c>
      <c r="I102" s="2" t="s">
        <v>47</v>
      </c>
      <c r="J102" s="2" t="s">
        <v>29</v>
      </c>
      <c r="K102" s="2" t="s">
        <v>38</v>
      </c>
      <c r="L102" s="1">
        <v>45824</v>
      </c>
      <c r="M102" s="2" t="s">
        <v>29</v>
      </c>
      <c r="N102">
        <v>60</v>
      </c>
      <c r="O102" t="s">
        <v>446</v>
      </c>
      <c r="P102">
        <v>308.58999999999997</v>
      </c>
      <c r="Q102">
        <v>361</v>
      </c>
      <c r="R102">
        <v>13053.12</v>
      </c>
      <c r="S102">
        <v>0</v>
      </c>
      <c r="T102">
        <v>13053.12</v>
      </c>
      <c r="U102" s="2" t="s">
        <v>29</v>
      </c>
      <c r="V102" s="4"/>
      <c r="W102">
        <v>0</v>
      </c>
      <c r="X102" s="1"/>
      <c r="Y102">
        <v>0</v>
      </c>
      <c r="Z102">
        <v>6</v>
      </c>
      <c r="AA102">
        <v>2025</v>
      </c>
      <c r="AB102" t="s">
        <v>455</v>
      </c>
      <c r="AC102" s="2" t="s">
        <v>39</v>
      </c>
    </row>
    <row r="103" spans="1:29" x14ac:dyDescent="0.25">
      <c r="A103" s="1">
        <v>45822</v>
      </c>
      <c r="B103" s="1"/>
      <c r="C103" s="2" t="s">
        <v>41</v>
      </c>
      <c r="D103" s="2" t="s">
        <v>28</v>
      </c>
      <c r="E103" s="3" t="s">
        <v>131</v>
      </c>
      <c r="F103" s="2" t="s">
        <v>188</v>
      </c>
      <c r="G103" s="2" t="s">
        <v>297</v>
      </c>
      <c r="H103" s="2" t="s">
        <v>30</v>
      </c>
      <c r="I103" s="2" t="s">
        <v>47</v>
      </c>
      <c r="J103" s="2" t="s">
        <v>29</v>
      </c>
      <c r="K103" s="2" t="s">
        <v>38</v>
      </c>
      <c r="L103" s="1">
        <v>45825</v>
      </c>
      <c r="M103" s="2" t="s">
        <v>29</v>
      </c>
      <c r="N103">
        <v>84</v>
      </c>
      <c r="O103" t="s">
        <v>446</v>
      </c>
      <c r="P103">
        <v>0</v>
      </c>
      <c r="Q103">
        <v>53.9</v>
      </c>
      <c r="R103">
        <v>2228.39</v>
      </c>
      <c r="S103">
        <v>0</v>
      </c>
      <c r="T103">
        <v>2228.39</v>
      </c>
      <c r="U103" s="2" t="s">
        <v>29</v>
      </c>
      <c r="V103" s="4"/>
      <c r="W103">
        <v>0</v>
      </c>
      <c r="X103" s="1"/>
      <c r="Y103">
        <v>0</v>
      </c>
      <c r="Z103">
        <v>6</v>
      </c>
      <c r="AA103">
        <v>2025</v>
      </c>
      <c r="AB103" t="s">
        <v>455</v>
      </c>
      <c r="AC103" s="2" t="s">
        <v>33</v>
      </c>
    </row>
    <row r="104" spans="1:29" x14ac:dyDescent="0.25">
      <c r="A104" s="1">
        <v>45824</v>
      </c>
      <c r="B104" s="1"/>
      <c r="C104" s="2" t="s">
        <v>27</v>
      </c>
      <c r="D104" s="2" t="s">
        <v>28</v>
      </c>
      <c r="E104" s="3" t="s">
        <v>89</v>
      </c>
      <c r="F104" s="2" t="s">
        <v>167</v>
      </c>
      <c r="G104" s="2" t="s">
        <v>298</v>
      </c>
      <c r="H104" s="2" t="s">
        <v>45</v>
      </c>
      <c r="I104" s="2" t="s">
        <v>47</v>
      </c>
      <c r="J104" s="2" t="s">
        <v>29</v>
      </c>
      <c r="K104" s="2" t="s">
        <v>32</v>
      </c>
      <c r="L104" s="1">
        <v>45827</v>
      </c>
      <c r="M104" s="2" t="s">
        <v>29</v>
      </c>
      <c r="N104">
        <v>84</v>
      </c>
      <c r="O104" t="s">
        <v>446</v>
      </c>
      <c r="P104">
        <v>330</v>
      </c>
      <c r="Q104">
        <v>426.57</v>
      </c>
      <c r="R104">
        <v>0</v>
      </c>
      <c r="S104">
        <v>0</v>
      </c>
      <c r="T104">
        <v>0</v>
      </c>
      <c r="U104" s="2" t="s">
        <v>29</v>
      </c>
      <c r="V104" s="4"/>
      <c r="W104">
        <v>0</v>
      </c>
      <c r="X104" s="1"/>
      <c r="Y104">
        <v>0</v>
      </c>
      <c r="Z104">
        <v>6</v>
      </c>
      <c r="AA104">
        <v>2025</v>
      </c>
      <c r="AB104" t="s">
        <v>455</v>
      </c>
      <c r="AC104" s="2" t="s">
        <v>46</v>
      </c>
    </row>
    <row r="105" spans="1:29" x14ac:dyDescent="0.25">
      <c r="A105" s="1">
        <v>45826</v>
      </c>
      <c r="B105" s="1"/>
      <c r="C105" s="2" t="s">
        <v>27</v>
      </c>
      <c r="D105" s="2" t="s">
        <v>28</v>
      </c>
      <c r="E105" s="3" t="s">
        <v>132</v>
      </c>
      <c r="F105" s="2" t="s">
        <v>186</v>
      </c>
      <c r="G105" s="2" t="s">
        <v>299</v>
      </c>
      <c r="H105" s="2" t="s">
        <v>37</v>
      </c>
      <c r="I105" s="2" t="s">
        <v>47</v>
      </c>
      <c r="J105" s="2" t="s">
        <v>29</v>
      </c>
      <c r="K105" s="2" t="s">
        <v>32</v>
      </c>
      <c r="L105" s="1">
        <v>45829</v>
      </c>
      <c r="M105" s="2" t="s">
        <v>29</v>
      </c>
      <c r="N105">
        <v>0</v>
      </c>
      <c r="O105" t="s">
        <v>447</v>
      </c>
      <c r="P105">
        <v>425.92</v>
      </c>
      <c r="Q105">
        <v>426.57</v>
      </c>
      <c r="R105">
        <v>16300</v>
      </c>
      <c r="S105">
        <v>0</v>
      </c>
      <c r="T105">
        <v>16300</v>
      </c>
      <c r="U105" s="2" t="s">
        <v>29</v>
      </c>
      <c r="V105" s="4"/>
      <c r="W105">
        <v>0</v>
      </c>
      <c r="X105" s="1"/>
      <c r="Y105">
        <v>0</v>
      </c>
      <c r="Z105">
        <v>6</v>
      </c>
      <c r="AA105">
        <v>2025</v>
      </c>
      <c r="AB105" t="s">
        <v>455</v>
      </c>
      <c r="AC105" s="2" t="s">
        <v>39</v>
      </c>
    </row>
    <row r="106" spans="1:29" x14ac:dyDescent="0.25">
      <c r="A106" s="1">
        <v>45827</v>
      </c>
      <c r="B106" s="1"/>
      <c r="C106" s="2" t="s">
        <v>41</v>
      </c>
      <c r="D106" s="2" t="s">
        <v>28</v>
      </c>
      <c r="E106" s="3" t="s">
        <v>71</v>
      </c>
      <c r="F106" s="2" t="s">
        <v>149</v>
      </c>
      <c r="G106" s="2" t="s">
        <v>300</v>
      </c>
      <c r="H106" s="2" t="s">
        <v>45</v>
      </c>
      <c r="I106" s="2" t="s">
        <v>47</v>
      </c>
      <c r="J106" s="2" t="s">
        <v>29</v>
      </c>
      <c r="K106" s="2" t="s">
        <v>32</v>
      </c>
      <c r="L106" s="1">
        <v>45830</v>
      </c>
      <c r="M106" s="2" t="s">
        <v>29</v>
      </c>
      <c r="N106">
        <v>84</v>
      </c>
      <c r="O106" t="s">
        <v>446</v>
      </c>
      <c r="P106">
        <v>55.32</v>
      </c>
      <c r="Q106">
        <v>79.56</v>
      </c>
      <c r="R106">
        <v>0</v>
      </c>
      <c r="S106">
        <v>0</v>
      </c>
      <c r="T106">
        <v>0</v>
      </c>
      <c r="U106" s="2" t="s">
        <v>29</v>
      </c>
      <c r="V106" s="4"/>
      <c r="W106">
        <v>0</v>
      </c>
      <c r="X106" s="1"/>
      <c r="Y106">
        <v>0</v>
      </c>
      <c r="Z106">
        <v>6</v>
      </c>
      <c r="AA106">
        <v>2025</v>
      </c>
      <c r="AB106" t="s">
        <v>455</v>
      </c>
      <c r="AC106" s="2" t="s">
        <v>46</v>
      </c>
    </row>
    <row r="107" spans="1:29" x14ac:dyDescent="0.25">
      <c r="A107" s="1">
        <v>45829</v>
      </c>
      <c r="B107" s="1"/>
      <c r="C107" s="2" t="s">
        <v>41</v>
      </c>
      <c r="D107" s="2" t="s">
        <v>28</v>
      </c>
      <c r="E107" s="3" t="s">
        <v>91</v>
      </c>
      <c r="F107" s="2" t="s">
        <v>169</v>
      </c>
      <c r="G107" s="2" t="s">
        <v>301</v>
      </c>
      <c r="H107" s="2" t="s">
        <v>37</v>
      </c>
      <c r="I107" s="2" t="s">
        <v>47</v>
      </c>
      <c r="J107" s="2" t="s">
        <v>29</v>
      </c>
      <c r="K107" s="2" t="s">
        <v>32</v>
      </c>
      <c r="L107" s="1">
        <v>45832</v>
      </c>
      <c r="M107" s="2" t="s">
        <v>29</v>
      </c>
      <c r="N107">
        <v>45</v>
      </c>
      <c r="O107" t="s">
        <v>448</v>
      </c>
      <c r="P107">
        <v>72.150000000000006</v>
      </c>
      <c r="Q107">
        <v>79.56</v>
      </c>
      <c r="R107">
        <v>0</v>
      </c>
      <c r="S107">
        <v>0</v>
      </c>
      <c r="T107">
        <v>0</v>
      </c>
      <c r="U107" s="2" t="s">
        <v>29</v>
      </c>
      <c r="V107" s="4"/>
      <c r="W107">
        <v>0</v>
      </c>
      <c r="X107" s="1"/>
      <c r="Y107">
        <v>0</v>
      </c>
      <c r="Z107">
        <v>6</v>
      </c>
      <c r="AA107">
        <v>2025</v>
      </c>
      <c r="AB107" t="s">
        <v>455</v>
      </c>
      <c r="AC107" s="2" t="s">
        <v>39</v>
      </c>
    </row>
    <row r="108" spans="1:29" x14ac:dyDescent="0.25">
      <c r="A108" s="1">
        <v>45830</v>
      </c>
      <c r="B108" s="1"/>
      <c r="C108" s="2" t="s">
        <v>41</v>
      </c>
      <c r="D108" s="2" t="s">
        <v>28</v>
      </c>
      <c r="E108" s="3" t="s">
        <v>133</v>
      </c>
      <c r="F108" s="2" t="s">
        <v>189</v>
      </c>
      <c r="G108" s="2" t="s">
        <v>302</v>
      </c>
      <c r="H108" s="2" t="s">
        <v>45</v>
      </c>
      <c r="I108" s="2" t="s">
        <v>47</v>
      </c>
      <c r="J108" s="2" t="s">
        <v>29</v>
      </c>
      <c r="K108" s="2" t="s">
        <v>32</v>
      </c>
      <c r="L108" s="1">
        <v>45833</v>
      </c>
      <c r="M108" s="2" t="s">
        <v>29</v>
      </c>
      <c r="N108">
        <v>84</v>
      </c>
      <c r="O108" t="s">
        <v>446</v>
      </c>
      <c r="P108">
        <v>128</v>
      </c>
      <c r="Q108">
        <v>166.3</v>
      </c>
      <c r="R108">
        <v>0</v>
      </c>
      <c r="S108">
        <v>0</v>
      </c>
      <c r="T108">
        <v>0</v>
      </c>
      <c r="U108" s="2" t="s">
        <v>29</v>
      </c>
      <c r="V108" s="4"/>
      <c r="W108">
        <v>0</v>
      </c>
      <c r="X108" s="1"/>
      <c r="Y108">
        <v>0</v>
      </c>
      <c r="Z108">
        <v>6</v>
      </c>
      <c r="AA108">
        <v>2025</v>
      </c>
      <c r="AB108" t="s">
        <v>455</v>
      </c>
      <c r="AC108" s="2" t="s">
        <v>46</v>
      </c>
    </row>
    <row r="109" spans="1:29" x14ac:dyDescent="0.25">
      <c r="A109" s="1">
        <v>45832</v>
      </c>
      <c r="B109" s="1"/>
      <c r="C109" s="2" t="s">
        <v>41</v>
      </c>
      <c r="D109" s="2" t="s">
        <v>28</v>
      </c>
      <c r="E109" s="3" t="s">
        <v>134</v>
      </c>
      <c r="F109" s="2" t="s">
        <v>190</v>
      </c>
      <c r="G109" s="2" t="s">
        <v>303</v>
      </c>
      <c r="H109" s="2" t="s">
        <v>37</v>
      </c>
      <c r="I109" s="2" t="s">
        <v>47</v>
      </c>
      <c r="J109" s="2" t="s">
        <v>29</v>
      </c>
      <c r="K109" s="2" t="s">
        <v>32</v>
      </c>
      <c r="L109" s="1">
        <v>45835</v>
      </c>
      <c r="M109" s="2" t="s">
        <v>29</v>
      </c>
      <c r="N109">
        <v>57</v>
      </c>
      <c r="O109" t="s">
        <v>448</v>
      </c>
      <c r="P109">
        <v>150.05000000000001</v>
      </c>
      <c r="Q109">
        <v>166.3</v>
      </c>
      <c r="R109">
        <v>0</v>
      </c>
      <c r="S109">
        <v>0</v>
      </c>
      <c r="T109">
        <v>0</v>
      </c>
      <c r="U109" s="2" t="s">
        <v>29</v>
      </c>
      <c r="V109" s="4"/>
      <c r="W109">
        <v>0</v>
      </c>
      <c r="X109" s="1"/>
      <c r="Y109">
        <v>0</v>
      </c>
      <c r="Z109">
        <v>6</v>
      </c>
      <c r="AA109">
        <v>2025</v>
      </c>
      <c r="AB109" t="s">
        <v>455</v>
      </c>
      <c r="AC109" s="2" t="s">
        <v>39</v>
      </c>
    </row>
    <row r="110" spans="1:29" x14ac:dyDescent="0.25">
      <c r="A110" s="1">
        <v>45834</v>
      </c>
      <c r="B110" s="1">
        <v>45841</v>
      </c>
      <c r="C110" s="2" t="s">
        <v>27</v>
      </c>
      <c r="D110" s="2" t="s">
        <v>28</v>
      </c>
      <c r="E110" s="3" t="s">
        <v>135</v>
      </c>
      <c r="F110" s="2" t="s">
        <v>191</v>
      </c>
      <c r="G110" s="2" t="s">
        <v>304</v>
      </c>
      <c r="H110" s="2" t="s">
        <v>45</v>
      </c>
      <c r="I110" s="2" t="s">
        <v>48</v>
      </c>
      <c r="J110" s="2" t="s">
        <v>29</v>
      </c>
      <c r="K110" s="2" t="s">
        <v>32</v>
      </c>
      <c r="L110" s="1">
        <v>45837</v>
      </c>
      <c r="M110" s="2" t="s">
        <v>29</v>
      </c>
      <c r="N110">
        <v>84</v>
      </c>
      <c r="O110" t="s">
        <v>446</v>
      </c>
      <c r="P110">
        <v>0</v>
      </c>
      <c r="Q110">
        <v>476.86</v>
      </c>
      <c r="R110">
        <v>0</v>
      </c>
      <c r="S110">
        <v>0</v>
      </c>
      <c r="T110">
        <v>0</v>
      </c>
      <c r="U110" s="2" t="s">
        <v>29</v>
      </c>
      <c r="V110" s="4"/>
      <c r="W110">
        <v>0</v>
      </c>
      <c r="X110" s="1"/>
      <c r="Y110">
        <v>0</v>
      </c>
      <c r="Z110">
        <v>6</v>
      </c>
      <c r="AA110">
        <v>2025</v>
      </c>
      <c r="AB110" t="s">
        <v>455</v>
      </c>
      <c r="AC110" s="2" t="s">
        <v>46</v>
      </c>
    </row>
    <row r="111" spans="1:29" x14ac:dyDescent="0.25">
      <c r="A111" s="1">
        <v>45835</v>
      </c>
      <c r="B111" s="1">
        <v>45842</v>
      </c>
      <c r="C111" s="2" t="s">
        <v>27</v>
      </c>
      <c r="D111" s="2" t="s">
        <v>28</v>
      </c>
      <c r="E111" s="3" t="s">
        <v>83</v>
      </c>
      <c r="F111" s="2" t="s">
        <v>161</v>
      </c>
      <c r="G111" s="2" t="s">
        <v>305</v>
      </c>
      <c r="H111" s="2" t="s">
        <v>37</v>
      </c>
      <c r="I111" s="2" t="s">
        <v>48</v>
      </c>
      <c r="J111" s="2" t="s">
        <v>29</v>
      </c>
      <c r="K111" s="2" t="s">
        <v>32</v>
      </c>
      <c r="L111" s="1">
        <v>45838</v>
      </c>
      <c r="M111" s="2" t="s">
        <v>29</v>
      </c>
      <c r="N111">
        <v>0</v>
      </c>
      <c r="O111" t="s">
        <v>447</v>
      </c>
      <c r="P111">
        <v>0</v>
      </c>
      <c r="Q111">
        <v>476.86</v>
      </c>
      <c r="R111">
        <v>19819</v>
      </c>
      <c r="S111">
        <v>0</v>
      </c>
      <c r="T111">
        <v>19819</v>
      </c>
      <c r="U111" s="2" t="s">
        <v>29</v>
      </c>
      <c r="V111" s="4"/>
      <c r="W111">
        <v>0</v>
      </c>
      <c r="X111" s="1"/>
      <c r="Y111">
        <v>0</v>
      </c>
      <c r="Z111">
        <v>6</v>
      </c>
      <c r="AA111">
        <v>2025</v>
      </c>
      <c r="AB111" t="s">
        <v>455</v>
      </c>
      <c r="AC111" s="2" t="s">
        <v>39</v>
      </c>
    </row>
    <row r="112" spans="1:29" x14ac:dyDescent="0.25">
      <c r="A112" s="1">
        <v>45837</v>
      </c>
      <c r="B112" s="1"/>
      <c r="C112" s="2" t="s">
        <v>27</v>
      </c>
      <c r="D112" s="2" t="s">
        <v>28</v>
      </c>
      <c r="E112" s="3" t="s">
        <v>94</v>
      </c>
      <c r="F112" s="2" t="s">
        <v>172</v>
      </c>
      <c r="G112" s="2" t="s">
        <v>306</v>
      </c>
      <c r="H112" s="2" t="s">
        <v>45</v>
      </c>
      <c r="I112" s="2" t="s">
        <v>31</v>
      </c>
      <c r="J112" s="2" t="s">
        <v>29</v>
      </c>
      <c r="K112" s="2" t="s">
        <v>32</v>
      </c>
      <c r="L112" s="1">
        <v>45840</v>
      </c>
      <c r="M112" s="2" t="s">
        <v>29</v>
      </c>
      <c r="N112">
        <v>84</v>
      </c>
      <c r="O112" t="s">
        <v>446</v>
      </c>
      <c r="P112">
        <v>441.33</v>
      </c>
      <c r="Q112">
        <v>568.04</v>
      </c>
      <c r="R112">
        <v>0</v>
      </c>
      <c r="S112">
        <v>0</v>
      </c>
      <c r="T112">
        <v>0</v>
      </c>
      <c r="U112" s="2" t="s">
        <v>29</v>
      </c>
      <c r="V112" s="4"/>
      <c r="W112">
        <v>0</v>
      </c>
      <c r="X112" s="1"/>
      <c r="Y112">
        <v>0</v>
      </c>
      <c r="Z112">
        <v>6</v>
      </c>
      <c r="AA112">
        <v>2025</v>
      </c>
      <c r="AB112" t="s">
        <v>455</v>
      </c>
      <c r="AC112" s="2" t="s">
        <v>46</v>
      </c>
    </row>
    <row r="113" spans="1:29" x14ac:dyDescent="0.25">
      <c r="A113" s="1">
        <v>45839</v>
      </c>
      <c r="B113" s="1"/>
      <c r="C113" s="2" t="s">
        <v>27</v>
      </c>
      <c r="D113" s="2" t="s">
        <v>28</v>
      </c>
      <c r="E113" s="3" t="s">
        <v>95</v>
      </c>
      <c r="F113" s="2" t="s">
        <v>173</v>
      </c>
      <c r="G113" s="2" t="s">
        <v>307</v>
      </c>
      <c r="H113" s="2" t="s">
        <v>37</v>
      </c>
      <c r="I113" s="2" t="s">
        <v>31</v>
      </c>
      <c r="J113" s="2" t="s">
        <v>29</v>
      </c>
      <c r="K113" s="2" t="s">
        <v>32</v>
      </c>
      <c r="L113" s="1">
        <v>45842</v>
      </c>
      <c r="M113" s="2" t="s">
        <v>29</v>
      </c>
      <c r="N113">
        <v>58</v>
      </c>
      <c r="O113" t="s">
        <v>448</v>
      </c>
      <c r="P113">
        <v>562.20000000000005</v>
      </c>
      <c r="Q113">
        <v>568.04</v>
      </c>
      <c r="R113">
        <v>23707.43</v>
      </c>
      <c r="S113">
        <v>0</v>
      </c>
      <c r="T113">
        <v>23707.43</v>
      </c>
      <c r="U113" s="2" t="s">
        <v>29</v>
      </c>
      <c r="V113" s="4"/>
      <c r="W113">
        <v>0</v>
      </c>
      <c r="X113" s="1"/>
      <c r="Y113">
        <v>0</v>
      </c>
      <c r="Z113">
        <v>7</v>
      </c>
      <c r="AA113">
        <v>2025</v>
      </c>
      <c r="AB113" t="s">
        <v>456</v>
      </c>
      <c r="AC113" s="2" t="s">
        <v>39</v>
      </c>
    </row>
    <row r="114" spans="1:29" x14ac:dyDescent="0.25">
      <c r="A114" s="1">
        <v>45840</v>
      </c>
      <c r="B114" s="1"/>
      <c r="C114" s="2" t="s">
        <v>44</v>
      </c>
      <c r="D114" s="2" t="s">
        <v>28</v>
      </c>
      <c r="E114" s="3" t="s">
        <v>96</v>
      </c>
      <c r="F114" s="2" t="s">
        <v>174</v>
      </c>
      <c r="G114" s="2" t="s">
        <v>308</v>
      </c>
      <c r="H114" s="2" t="s">
        <v>45</v>
      </c>
      <c r="I114" s="2" t="s">
        <v>47</v>
      </c>
      <c r="J114" s="2" t="s">
        <v>29</v>
      </c>
      <c r="K114" s="2" t="s">
        <v>32</v>
      </c>
      <c r="L114" s="1">
        <v>45843</v>
      </c>
      <c r="M114" s="2" t="s">
        <v>29</v>
      </c>
      <c r="N114">
        <v>84</v>
      </c>
      <c r="O114" t="s">
        <v>446</v>
      </c>
      <c r="P114">
        <v>124</v>
      </c>
      <c r="Q114">
        <v>498.64</v>
      </c>
      <c r="R114">
        <v>0</v>
      </c>
      <c r="S114">
        <v>0</v>
      </c>
      <c r="T114">
        <v>0</v>
      </c>
      <c r="U114" s="2" t="s">
        <v>29</v>
      </c>
      <c r="V114" s="4"/>
      <c r="W114">
        <v>0</v>
      </c>
      <c r="X114" s="1"/>
      <c r="Y114">
        <v>0</v>
      </c>
      <c r="Z114">
        <v>7</v>
      </c>
      <c r="AA114">
        <v>2025</v>
      </c>
      <c r="AB114" t="s">
        <v>456</v>
      </c>
      <c r="AC114" s="2" t="s">
        <v>46</v>
      </c>
    </row>
    <row r="115" spans="1:29" x14ac:dyDescent="0.25">
      <c r="A115" s="1">
        <v>45842</v>
      </c>
      <c r="B115" s="1"/>
      <c r="C115" s="2" t="s">
        <v>44</v>
      </c>
      <c r="D115" s="2" t="s">
        <v>28</v>
      </c>
      <c r="E115" s="3" t="s">
        <v>72</v>
      </c>
      <c r="F115" s="2" t="s">
        <v>150</v>
      </c>
      <c r="G115" s="2" t="s">
        <v>309</v>
      </c>
      <c r="H115" s="2" t="s">
        <v>37</v>
      </c>
      <c r="I115" s="2" t="s">
        <v>47</v>
      </c>
      <c r="J115" s="2" t="s">
        <v>29</v>
      </c>
      <c r="K115" s="2" t="s">
        <v>32</v>
      </c>
      <c r="L115" s="1">
        <v>45845</v>
      </c>
      <c r="M115" s="2" t="s">
        <v>29</v>
      </c>
      <c r="N115">
        <v>13</v>
      </c>
      <c r="O115" t="s">
        <v>447</v>
      </c>
      <c r="P115">
        <v>497.84</v>
      </c>
      <c r="Q115">
        <v>498.64</v>
      </c>
      <c r="R115">
        <v>5938.52</v>
      </c>
      <c r="S115">
        <v>0</v>
      </c>
      <c r="T115">
        <v>5938.52</v>
      </c>
      <c r="U115" s="2" t="s">
        <v>29</v>
      </c>
      <c r="V115" s="4"/>
      <c r="W115">
        <v>0</v>
      </c>
      <c r="X115" s="1"/>
      <c r="Y115">
        <v>0</v>
      </c>
      <c r="Z115">
        <v>7</v>
      </c>
      <c r="AA115">
        <v>2025</v>
      </c>
      <c r="AB115" t="s">
        <v>456</v>
      </c>
      <c r="AC115" s="2" t="s">
        <v>39</v>
      </c>
    </row>
    <row r="116" spans="1:29" x14ac:dyDescent="0.25">
      <c r="A116" s="1">
        <v>45844</v>
      </c>
      <c r="B116" s="1">
        <v>45851</v>
      </c>
      <c r="C116" s="2" t="s">
        <v>27</v>
      </c>
      <c r="D116" s="2" t="s">
        <v>28</v>
      </c>
      <c r="E116" s="3" t="s">
        <v>98</v>
      </c>
      <c r="F116" s="2" t="s">
        <v>176</v>
      </c>
      <c r="G116" s="2" t="s">
        <v>310</v>
      </c>
      <c r="H116" s="2" t="s">
        <v>45</v>
      </c>
      <c r="I116" s="2" t="s">
        <v>48</v>
      </c>
      <c r="J116" s="2" t="s">
        <v>29</v>
      </c>
      <c r="K116" s="2" t="s">
        <v>32</v>
      </c>
      <c r="L116" s="1">
        <v>45847</v>
      </c>
      <c r="M116" s="2" t="s">
        <v>29</v>
      </c>
      <c r="N116">
        <v>84</v>
      </c>
      <c r="O116" t="s">
        <v>446</v>
      </c>
      <c r="P116">
        <v>191.5</v>
      </c>
      <c r="Q116">
        <v>375.09</v>
      </c>
      <c r="R116">
        <v>0</v>
      </c>
      <c r="S116">
        <v>0</v>
      </c>
      <c r="T116">
        <v>0</v>
      </c>
      <c r="U116" s="2" t="s">
        <v>29</v>
      </c>
      <c r="V116" s="4"/>
      <c r="W116">
        <v>0</v>
      </c>
      <c r="X116" s="1"/>
      <c r="Y116">
        <v>0</v>
      </c>
      <c r="Z116">
        <v>7</v>
      </c>
      <c r="AA116">
        <v>2025</v>
      </c>
      <c r="AB116" t="s">
        <v>456</v>
      </c>
      <c r="AC116" s="2" t="s">
        <v>46</v>
      </c>
    </row>
    <row r="117" spans="1:29" x14ac:dyDescent="0.25">
      <c r="A117" s="1">
        <v>45845</v>
      </c>
      <c r="B117" s="1">
        <v>45852</v>
      </c>
      <c r="C117" s="2" t="s">
        <v>27</v>
      </c>
      <c r="D117" s="2" t="s">
        <v>28</v>
      </c>
      <c r="E117" s="3" t="s">
        <v>136</v>
      </c>
      <c r="F117" s="2" t="s">
        <v>192</v>
      </c>
      <c r="G117" s="2" t="s">
        <v>311</v>
      </c>
      <c r="H117" s="2" t="s">
        <v>37</v>
      </c>
      <c r="I117" s="2" t="s">
        <v>48</v>
      </c>
      <c r="J117" s="2" t="s">
        <v>29</v>
      </c>
      <c r="K117" s="2" t="s">
        <v>32</v>
      </c>
      <c r="L117" s="1">
        <v>45848</v>
      </c>
      <c r="M117" s="2" t="s">
        <v>29</v>
      </c>
      <c r="N117">
        <v>32</v>
      </c>
      <c r="O117" t="s">
        <v>448</v>
      </c>
      <c r="P117">
        <v>373.56</v>
      </c>
      <c r="Q117">
        <v>375.09</v>
      </c>
      <c r="R117">
        <v>9800</v>
      </c>
      <c r="S117">
        <v>0</v>
      </c>
      <c r="T117">
        <v>9800</v>
      </c>
      <c r="U117" s="2" t="s">
        <v>29</v>
      </c>
      <c r="V117" s="4"/>
      <c r="W117">
        <v>0</v>
      </c>
      <c r="X117" s="1"/>
      <c r="Y117">
        <v>0</v>
      </c>
      <c r="Z117">
        <v>7</v>
      </c>
      <c r="AA117">
        <v>2025</v>
      </c>
      <c r="AB117" t="s">
        <v>456</v>
      </c>
      <c r="AC117" s="2" t="s">
        <v>39</v>
      </c>
    </row>
    <row r="118" spans="1:29" x14ac:dyDescent="0.25">
      <c r="A118" s="1">
        <v>45847</v>
      </c>
      <c r="B118" s="1"/>
      <c r="C118" s="2" t="s">
        <v>27</v>
      </c>
      <c r="D118" s="2" t="s">
        <v>28</v>
      </c>
      <c r="E118" s="3" t="s">
        <v>99</v>
      </c>
      <c r="F118" s="2" t="s">
        <v>177</v>
      </c>
      <c r="G118" s="2" t="s">
        <v>312</v>
      </c>
      <c r="H118" s="2" t="s">
        <v>30</v>
      </c>
      <c r="I118" s="2" t="s">
        <v>48</v>
      </c>
      <c r="J118" s="2" t="s">
        <v>29</v>
      </c>
      <c r="K118" s="2" t="s">
        <v>49</v>
      </c>
      <c r="L118" s="1">
        <v>45850</v>
      </c>
      <c r="M118" s="2" t="s">
        <v>29</v>
      </c>
      <c r="N118">
        <v>84</v>
      </c>
      <c r="O118" t="s">
        <v>446</v>
      </c>
      <c r="P118">
        <v>0</v>
      </c>
      <c r="Q118">
        <v>0</v>
      </c>
      <c r="R118">
        <v>0</v>
      </c>
      <c r="S118">
        <v>0</v>
      </c>
      <c r="T118">
        <v>0</v>
      </c>
      <c r="U118" s="2" t="s">
        <v>29</v>
      </c>
      <c r="V118" s="4"/>
      <c r="W118">
        <v>0</v>
      </c>
      <c r="X118" s="1"/>
      <c r="Y118">
        <v>0</v>
      </c>
      <c r="Z118">
        <v>7</v>
      </c>
      <c r="AA118">
        <v>2025</v>
      </c>
      <c r="AB118" t="s">
        <v>456</v>
      </c>
      <c r="AC118" s="2" t="s">
        <v>33</v>
      </c>
    </row>
    <row r="119" spans="1:29" x14ac:dyDescent="0.25">
      <c r="A119" s="1">
        <v>45849</v>
      </c>
      <c r="B119" s="1">
        <v>45856</v>
      </c>
      <c r="C119" s="2" t="s">
        <v>41</v>
      </c>
      <c r="D119" s="2" t="s">
        <v>28</v>
      </c>
      <c r="E119" s="3" t="s">
        <v>100</v>
      </c>
      <c r="F119" s="2" t="s">
        <v>178</v>
      </c>
      <c r="G119" s="2" t="s">
        <v>313</v>
      </c>
      <c r="H119" s="2" t="s">
        <v>37</v>
      </c>
      <c r="I119" s="2" t="s">
        <v>48</v>
      </c>
      <c r="J119" s="2" t="s">
        <v>29</v>
      </c>
      <c r="K119" s="2" t="s">
        <v>32</v>
      </c>
      <c r="L119" s="1">
        <v>45852</v>
      </c>
      <c r="M119" s="2" t="s">
        <v>29</v>
      </c>
      <c r="N119">
        <v>72</v>
      </c>
      <c r="O119" t="s">
        <v>446</v>
      </c>
      <c r="P119">
        <v>60.09</v>
      </c>
      <c r="Q119">
        <v>95.37</v>
      </c>
      <c r="R119">
        <v>2850</v>
      </c>
      <c r="S119">
        <v>0</v>
      </c>
      <c r="T119">
        <v>2850</v>
      </c>
      <c r="U119" s="2" t="s">
        <v>29</v>
      </c>
      <c r="V119" s="4"/>
      <c r="W119">
        <v>0</v>
      </c>
      <c r="X119" s="1"/>
      <c r="Y119">
        <v>0</v>
      </c>
      <c r="Z119">
        <v>7</v>
      </c>
      <c r="AA119">
        <v>2025</v>
      </c>
      <c r="AB119" t="s">
        <v>456</v>
      </c>
      <c r="AC119" s="2" t="s">
        <v>39</v>
      </c>
    </row>
    <row r="120" spans="1:29" x14ac:dyDescent="0.25">
      <c r="A120" s="1">
        <v>45850</v>
      </c>
      <c r="B120" s="1">
        <v>45857</v>
      </c>
      <c r="C120" s="2" t="s">
        <v>27</v>
      </c>
      <c r="D120" s="2" t="s">
        <v>28</v>
      </c>
      <c r="E120" s="3" t="s">
        <v>88</v>
      </c>
      <c r="F120" s="2" t="s">
        <v>166</v>
      </c>
      <c r="G120" s="2" t="s">
        <v>314</v>
      </c>
      <c r="H120" s="2" t="s">
        <v>45</v>
      </c>
      <c r="I120" s="2" t="s">
        <v>48</v>
      </c>
      <c r="J120" s="2" t="s">
        <v>29</v>
      </c>
      <c r="K120" s="2" t="s">
        <v>55</v>
      </c>
      <c r="L120" s="1">
        <v>45853</v>
      </c>
      <c r="M120" s="2" t="s">
        <v>29</v>
      </c>
      <c r="N120">
        <v>84</v>
      </c>
      <c r="O120" t="s">
        <v>446</v>
      </c>
      <c r="P120">
        <v>211</v>
      </c>
      <c r="Q120">
        <v>299.3</v>
      </c>
      <c r="R120">
        <v>11142.43</v>
      </c>
      <c r="S120">
        <v>10837.52</v>
      </c>
      <c r="T120">
        <v>304.91000000000003</v>
      </c>
      <c r="U120" s="2" t="s">
        <v>29</v>
      </c>
      <c r="V120" s="4"/>
      <c r="W120">
        <v>0</v>
      </c>
      <c r="X120" s="1"/>
      <c r="Y120">
        <v>0</v>
      </c>
      <c r="Z120">
        <v>7</v>
      </c>
      <c r="AA120">
        <v>2025</v>
      </c>
      <c r="AB120" t="s">
        <v>456</v>
      </c>
      <c r="AC120" s="2" t="s">
        <v>46</v>
      </c>
    </row>
    <row r="121" spans="1:29" x14ac:dyDescent="0.25">
      <c r="A121" s="1">
        <v>45852</v>
      </c>
      <c r="B121" s="1">
        <v>45859</v>
      </c>
      <c r="C121" s="2" t="s">
        <v>27</v>
      </c>
      <c r="D121" s="2" t="s">
        <v>28</v>
      </c>
      <c r="E121" s="3" t="s">
        <v>137</v>
      </c>
      <c r="F121" s="2" t="s">
        <v>193</v>
      </c>
      <c r="G121" s="2" t="s">
        <v>315</v>
      </c>
      <c r="H121" s="2" t="s">
        <v>37</v>
      </c>
      <c r="I121" s="2" t="s">
        <v>48</v>
      </c>
      <c r="J121" s="2" t="s">
        <v>29</v>
      </c>
      <c r="K121" s="2" t="s">
        <v>57</v>
      </c>
      <c r="L121" s="1">
        <v>45855</v>
      </c>
      <c r="M121" s="2" t="s">
        <v>29</v>
      </c>
      <c r="N121">
        <v>56</v>
      </c>
      <c r="O121" t="s">
        <v>448</v>
      </c>
      <c r="P121">
        <v>267.55</v>
      </c>
      <c r="Q121">
        <v>299.3</v>
      </c>
      <c r="R121">
        <v>10837.52</v>
      </c>
      <c r="S121">
        <v>0</v>
      </c>
      <c r="T121">
        <v>10837.52</v>
      </c>
      <c r="U121" s="2" t="s">
        <v>29</v>
      </c>
      <c r="V121" s="4"/>
      <c r="W121">
        <v>0</v>
      </c>
      <c r="X121" s="1">
        <v>45862</v>
      </c>
      <c r="Y121">
        <v>1</v>
      </c>
      <c r="Z121">
        <v>7</v>
      </c>
      <c r="AA121">
        <v>2025</v>
      </c>
      <c r="AB121" t="s">
        <v>456</v>
      </c>
      <c r="AC121" s="2" t="s">
        <v>39</v>
      </c>
    </row>
    <row r="122" spans="1:29" x14ac:dyDescent="0.25">
      <c r="A122" s="1">
        <v>45854</v>
      </c>
      <c r="B122" s="1"/>
      <c r="C122" s="2" t="s">
        <v>42</v>
      </c>
      <c r="D122" s="2" t="s">
        <v>28</v>
      </c>
      <c r="E122" s="3" t="s">
        <v>102</v>
      </c>
      <c r="F122" s="2" t="s">
        <v>180</v>
      </c>
      <c r="G122" s="2" t="s">
        <v>316</v>
      </c>
      <c r="H122" s="2" t="s">
        <v>37</v>
      </c>
      <c r="I122" s="2" t="s">
        <v>48</v>
      </c>
      <c r="J122" s="2" t="s">
        <v>29</v>
      </c>
      <c r="K122" s="2" t="s">
        <v>52</v>
      </c>
      <c r="L122" s="1">
        <v>45857</v>
      </c>
      <c r="M122" s="2" t="s">
        <v>29</v>
      </c>
      <c r="N122">
        <v>58</v>
      </c>
      <c r="O122" t="s">
        <v>448</v>
      </c>
      <c r="P122">
        <v>844.71</v>
      </c>
      <c r="Q122">
        <v>993.81</v>
      </c>
      <c r="R122">
        <v>0</v>
      </c>
      <c r="S122">
        <v>0</v>
      </c>
      <c r="T122">
        <v>0</v>
      </c>
      <c r="U122" s="2" t="s">
        <v>29</v>
      </c>
      <c r="V122" s="4"/>
      <c r="W122">
        <v>0</v>
      </c>
      <c r="X122" s="1"/>
      <c r="Y122">
        <v>0</v>
      </c>
      <c r="Z122">
        <v>7</v>
      </c>
      <c r="AA122">
        <v>2025</v>
      </c>
      <c r="AB122" t="s">
        <v>456</v>
      </c>
      <c r="AC122" s="2" t="s">
        <v>39</v>
      </c>
    </row>
    <row r="123" spans="1:29" x14ac:dyDescent="0.25">
      <c r="A123" s="1">
        <v>45855</v>
      </c>
      <c r="B123" s="1"/>
      <c r="C123" s="2" t="s">
        <v>27</v>
      </c>
      <c r="D123" s="2" t="s">
        <v>28</v>
      </c>
      <c r="E123" s="3" t="s">
        <v>103</v>
      </c>
      <c r="F123" s="2" t="s">
        <v>181</v>
      </c>
      <c r="G123" s="2" t="s">
        <v>317</v>
      </c>
      <c r="H123" s="2" t="s">
        <v>45</v>
      </c>
      <c r="I123" s="2" t="s">
        <v>47</v>
      </c>
      <c r="J123" s="2" t="s">
        <v>29</v>
      </c>
      <c r="K123" s="2" t="s">
        <v>32</v>
      </c>
      <c r="L123" s="1">
        <v>45858</v>
      </c>
      <c r="M123" s="2" t="s">
        <v>29</v>
      </c>
      <c r="N123">
        <v>84</v>
      </c>
      <c r="O123" t="s">
        <v>446</v>
      </c>
      <c r="P123">
        <v>201</v>
      </c>
      <c r="Q123">
        <v>375.09</v>
      </c>
      <c r="R123">
        <v>0</v>
      </c>
      <c r="S123">
        <v>0</v>
      </c>
      <c r="T123">
        <v>0</v>
      </c>
      <c r="U123" s="2" t="s">
        <v>29</v>
      </c>
      <c r="V123" s="4"/>
      <c r="W123">
        <v>0</v>
      </c>
      <c r="X123" s="1"/>
      <c r="Y123">
        <v>0</v>
      </c>
      <c r="Z123">
        <v>7</v>
      </c>
      <c r="AA123">
        <v>2025</v>
      </c>
      <c r="AB123" t="s">
        <v>456</v>
      </c>
      <c r="AC123" s="2" t="s">
        <v>46</v>
      </c>
    </row>
    <row r="124" spans="1:29" x14ac:dyDescent="0.25">
      <c r="A124" s="1">
        <v>45857</v>
      </c>
      <c r="B124" s="1"/>
      <c r="C124" s="2" t="s">
        <v>27</v>
      </c>
      <c r="D124" s="2" t="s">
        <v>28</v>
      </c>
      <c r="E124" s="3" t="s">
        <v>104</v>
      </c>
      <c r="F124" s="2" t="s">
        <v>182</v>
      </c>
      <c r="G124" s="2" t="s">
        <v>318</v>
      </c>
      <c r="H124" s="2" t="s">
        <v>37</v>
      </c>
      <c r="I124" s="2" t="s">
        <v>47</v>
      </c>
      <c r="J124" s="2" t="s">
        <v>29</v>
      </c>
      <c r="K124" s="2" t="s">
        <v>32</v>
      </c>
      <c r="L124" s="1">
        <v>45860</v>
      </c>
      <c r="M124" s="2" t="s">
        <v>29</v>
      </c>
      <c r="N124">
        <v>32</v>
      </c>
      <c r="O124" t="s">
        <v>448</v>
      </c>
      <c r="P124">
        <v>372.45</v>
      </c>
      <c r="Q124">
        <v>375.09</v>
      </c>
      <c r="R124">
        <v>0</v>
      </c>
      <c r="S124">
        <v>0</v>
      </c>
      <c r="T124">
        <v>0</v>
      </c>
      <c r="U124" s="2" t="s">
        <v>29</v>
      </c>
      <c r="V124" s="4"/>
      <c r="W124">
        <v>0</v>
      </c>
      <c r="X124" s="1"/>
      <c r="Y124">
        <v>0</v>
      </c>
      <c r="Z124">
        <v>7</v>
      </c>
      <c r="AA124">
        <v>2025</v>
      </c>
      <c r="AB124" t="s">
        <v>456</v>
      </c>
      <c r="AC124" s="2" t="s">
        <v>39</v>
      </c>
    </row>
    <row r="125" spans="1:29" x14ac:dyDescent="0.25">
      <c r="A125" s="1">
        <v>45859</v>
      </c>
      <c r="B125" s="1"/>
      <c r="C125" s="2" t="s">
        <v>27</v>
      </c>
      <c r="D125" s="2" t="s">
        <v>28</v>
      </c>
      <c r="E125" s="3" t="s">
        <v>105</v>
      </c>
      <c r="F125" s="2" t="s">
        <v>183</v>
      </c>
      <c r="G125" s="2" t="s">
        <v>319</v>
      </c>
      <c r="H125" s="2" t="s">
        <v>30</v>
      </c>
      <c r="I125" s="2" t="s">
        <v>47</v>
      </c>
      <c r="J125" s="2" t="s">
        <v>29</v>
      </c>
      <c r="K125" s="2" t="s">
        <v>32</v>
      </c>
      <c r="L125" s="1">
        <v>45862</v>
      </c>
      <c r="M125" s="2" t="s">
        <v>29</v>
      </c>
      <c r="N125">
        <v>84</v>
      </c>
      <c r="O125" t="s">
        <v>446</v>
      </c>
      <c r="P125">
        <v>0</v>
      </c>
      <c r="Q125">
        <v>171.4</v>
      </c>
      <c r="R125">
        <v>0</v>
      </c>
      <c r="S125">
        <v>0</v>
      </c>
      <c r="T125">
        <v>0</v>
      </c>
      <c r="U125" s="2" t="s">
        <v>29</v>
      </c>
      <c r="V125" s="4"/>
      <c r="W125">
        <v>0</v>
      </c>
      <c r="X125" s="1"/>
      <c r="Y125">
        <v>0</v>
      </c>
      <c r="Z125">
        <v>7</v>
      </c>
      <c r="AA125">
        <v>2025</v>
      </c>
      <c r="AB125" t="s">
        <v>456</v>
      </c>
      <c r="AC125" s="2" t="s">
        <v>33</v>
      </c>
    </row>
    <row r="126" spans="1:29" x14ac:dyDescent="0.25">
      <c r="A126" s="1">
        <v>45860</v>
      </c>
      <c r="B126" s="1">
        <v>45867</v>
      </c>
      <c r="C126" s="2" t="s">
        <v>41</v>
      </c>
      <c r="D126" s="2" t="s">
        <v>28</v>
      </c>
      <c r="E126" s="3" t="s">
        <v>71</v>
      </c>
      <c r="F126" s="2" t="s">
        <v>149</v>
      </c>
      <c r="G126" s="2" t="s">
        <v>320</v>
      </c>
      <c r="H126" s="2" t="s">
        <v>45</v>
      </c>
      <c r="I126" s="2" t="s">
        <v>48</v>
      </c>
      <c r="J126" s="2" t="s">
        <v>29</v>
      </c>
      <c r="K126" s="2" t="s">
        <v>32</v>
      </c>
      <c r="L126" s="1">
        <v>45863</v>
      </c>
      <c r="M126" s="2" t="s">
        <v>29</v>
      </c>
      <c r="N126">
        <v>84</v>
      </c>
      <c r="O126" t="s">
        <v>446</v>
      </c>
      <c r="P126">
        <v>94.5</v>
      </c>
      <c r="Q126">
        <v>120.25</v>
      </c>
      <c r="R126">
        <v>0</v>
      </c>
      <c r="S126">
        <v>4436.3100000000004</v>
      </c>
      <c r="T126">
        <v>-4436.3100000000004</v>
      </c>
      <c r="U126" s="2" t="s">
        <v>29</v>
      </c>
      <c r="V126" s="4"/>
      <c r="W126">
        <v>0</v>
      </c>
      <c r="X126" s="1"/>
      <c r="Y126">
        <v>0</v>
      </c>
      <c r="Z126">
        <v>7</v>
      </c>
      <c r="AA126">
        <v>2025</v>
      </c>
      <c r="AB126" t="s">
        <v>456</v>
      </c>
      <c r="AC126" s="2" t="s">
        <v>46</v>
      </c>
    </row>
    <row r="127" spans="1:29" x14ac:dyDescent="0.25">
      <c r="A127" s="1">
        <v>45862</v>
      </c>
      <c r="B127" s="1">
        <v>45869</v>
      </c>
      <c r="C127" s="2" t="s">
        <v>41</v>
      </c>
      <c r="D127" s="2" t="s">
        <v>28</v>
      </c>
      <c r="E127" s="3" t="s">
        <v>106</v>
      </c>
      <c r="F127" s="2" t="s">
        <v>184</v>
      </c>
      <c r="G127" s="2" t="s">
        <v>321</v>
      </c>
      <c r="H127" s="2" t="s">
        <v>37</v>
      </c>
      <c r="I127" s="2" t="s">
        <v>48</v>
      </c>
      <c r="J127" s="2" t="s">
        <v>29</v>
      </c>
      <c r="K127" s="2" t="s">
        <v>32</v>
      </c>
      <c r="L127" s="1">
        <v>45865</v>
      </c>
      <c r="M127" s="2" t="s">
        <v>29</v>
      </c>
      <c r="N127">
        <v>60</v>
      </c>
      <c r="O127" t="s">
        <v>446</v>
      </c>
      <c r="P127">
        <v>109.12</v>
      </c>
      <c r="Q127">
        <v>120.25</v>
      </c>
      <c r="R127">
        <v>4436.3100000000004</v>
      </c>
      <c r="S127">
        <v>0</v>
      </c>
      <c r="T127">
        <v>4436.3100000000004</v>
      </c>
      <c r="U127" s="2" t="s">
        <v>29</v>
      </c>
      <c r="V127" s="4"/>
      <c r="W127">
        <v>0</v>
      </c>
      <c r="X127" s="1"/>
      <c r="Y127">
        <v>0</v>
      </c>
      <c r="Z127">
        <v>7</v>
      </c>
      <c r="AA127">
        <v>2025</v>
      </c>
      <c r="AB127" t="s">
        <v>456</v>
      </c>
      <c r="AC127" s="2" t="s">
        <v>39</v>
      </c>
    </row>
    <row r="128" spans="1:29" x14ac:dyDescent="0.25">
      <c r="A128" s="1">
        <v>45864</v>
      </c>
      <c r="B128" s="1">
        <v>45871</v>
      </c>
      <c r="C128" s="2" t="s">
        <v>41</v>
      </c>
      <c r="D128" s="2" t="s">
        <v>28</v>
      </c>
      <c r="E128" s="3" t="s">
        <v>90</v>
      </c>
      <c r="F128" s="2" t="s">
        <v>168</v>
      </c>
      <c r="G128" s="2" t="s">
        <v>322</v>
      </c>
      <c r="H128" s="2" t="s">
        <v>45</v>
      </c>
      <c r="I128" s="2" t="s">
        <v>48</v>
      </c>
      <c r="J128" s="2" t="s">
        <v>29</v>
      </c>
      <c r="K128" s="2" t="s">
        <v>32</v>
      </c>
      <c r="L128" s="1">
        <v>45867</v>
      </c>
      <c r="M128" s="2" t="s">
        <v>29</v>
      </c>
      <c r="N128">
        <v>84</v>
      </c>
      <c r="O128" t="s">
        <v>446</v>
      </c>
      <c r="P128">
        <v>97</v>
      </c>
      <c r="Q128">
        <v>123.79</v>
      </c>
      <c r="R128">
        <v>0</v>
      </c>
      <c r="S128">
        <v>4566.96</v>
      </c>
      <c r="T128">
        <v>-4566.96</v>
      </c>
      <c r="U128" s="2" t="s">
        <v>29</v>
      </c>
      <c r="V128" s="4"/>
      <c r="W128">
        <v>0</v>
      </c>
      <c r="X128" s="1"/>
      <c r="Y128">
        <v>0</v>
      </c>
      <c r="Z128">
        <v>7</v>
      </c>
      <c r="AA128">
        <v>2025</v>
      </c>
      <c r="AB128" t="s">
        <v>456</v>
      </c>
      <c r="AC128" s="2" t="s">
        <v>46</v>
      </c>
    </row>
    <row r="129" spans="1:29" x14ac:dyDescent="0.25">
      <c r="A129" s="1">
        <v>45865</v>
      </c>
      <c r="B129" s="1">
        <v>45872</v>
      </c>
      <c r="C129" s="2" t="s">
        <v>41</v>
      </c>
      <c r="D129" s="2" t="s">
        <v>28</v>
      </c>
      <c r="E129" s="3" t="s">
        <v>108</v>
      </c>
      <c r="F129" s="2" t="s">
        <v>147</v>
      </c>
      <c r="G129" s="2" t="s">
        <v>323</v>
      </c>
      <c r="H129" s="2" t="s">
        <v>37</v>
      </c>
      <c r="I129" s="2" t="s">
        <v>48</v>
      </c>
      <c r="J129" s="2" t="s">
        <v>29</v>
      </c>
      <c r="K129" s="2" t="s">
        <v>32</v>
      </c>
      <c r="L129" s="1">
        <v>45868</v>
      </c>
      <c r="M129" s="2" t="s">
        <v>29</v>
      </c>
      <c r="N129">
        <v>60</v>
      </c>
      <c r="O129" t="s">
        <v>446</v>
      </c>
      <c r="P129">
        <v>112.34</v>
      </c>
      <c r="Q129">
        <v>123.79</v>
      </c>
      <c r="R129">
        <v>4566.96</v>
      </c>
      <c r="S129">
        <v>0</v>
      </c>
      <c r="T129">
        <v>4566.96</v>
      </c>
      <c r="U129" s="2" t="s">
        <v>29</v>
      </c>
      <c r="V129" s="4"/>
      <c r="W129">
        <v>0</v>
      </c>
      <c r="X129" s="1"/>
      <c r="Y129">
        <v>0</v>
      </c>
      <c r="Z129">
        <v>7</v>
      </c>
      <c r="AA129">
        <v>2025</v>
      </c>
      <c r="AB129" t="s">
        <v>456</v>
      </c>
      <c r="AC129" s="2" t="s">
        <v>39</v>
      </c>
    </row>
    <row r="130" spans="1:29" x14ac:dyDescent="0.25">
      <c r="A130" s="1">
        <v>45867</v>
      </c>
      <c r="B130" s="1">
        <v>45874</v>
      </c>
      <c r="C130" s="2" t="s">
        <v>41</v>
      </c>
      <c r="D130" s="2" t="s">
        <v>28</v>
      </c>
      <c r="E130" s="3" t="s">
        <v>76</v>
      </c>
      <c r="F130" s="2" t="s">
        <v>154</v>
      </c>
      <c r="G130" s="2" t="s">
        <v>324</v>
      </c>
      <c r="H130" s="2" t="s">
        <v>45</v>
      </c>
      <c r="I130" s="2" t="s">
        <v>48</v>
      </c>
      <c r="J130" s="2" t="s">
        <v>29</v>
      </c>
      <c r="K130" s="2" t="s">
        <v>32</v>
      </c>
      <c r="L130" s="1">
        <v>45870</v>
      </c>
      <c r="M130" s="2" t="s">
        <v>29</v>
      </c>
      <c r="N130">
        <v>84</v>
      </c>
      <c r="O130" t="s">
        <v>446</v>
      </c>
      <c r="P130">
        <v>64</v>
      </c>
      <c r="Q130">
        <v>85.5</v>
      </c>
      <c r="R130">
        <v>0</v>
      </c>
      <c r="S130">
        <v>2930.04</v>
      </c>
      <c r="T130">
        <v>-2930.04</v>
      </c>
      <c r="U130" s="2" t="s">
        <v>29</v>
      </c>
      <c r="V130" s="4"/>
      <c r="W130">
        <v>0</v>
      </c>
      <c r="X130" s="1"/>
      <c r="Y130">
        <v>0</v>
      </c>
      <c r="Z130">
        <v>7</v>
      </c>
      <c r="AA130">
        <v>2025</v>
      </c>
      <c r="AB130" t="s">
        <v>456</v>
      </c>
      <c r="AC130" s="2" t="s">
        <v>46</v>
      </c>
    </row>
    <row r="131" spans="1:29" x14ac:dyDescent="0.25">
      <c r="A131" s="1">
        <v>45869</v>
      </c>
      <c r="B131" s="1">
        <v>45876</v>
      </c>
      <c r="C131" s="2" t="s">
        <v>41</v>
      </c>
      <c r="D131" s="2" t="s">
        <v>28</v>
      </c>
      <c r="E131" s="3" t="s">
        <v>109</v>
      </c>
      <c r="F131" s="2" t="s">
        <v>149</v>
      </c>
      <c r="G131" s="2" t="s">
        <v>325</v>
      </c>
      <c r="H131" s="2" t="s">
        <v>37</v>
      </c>
      <c r="I131" s="2" t="s">
        <v>48</v>
      </c>
      <c r="J131" s="2" t="s">
        <v>29</v>
      </c>
      <c r="K131" s="2" t="s">
        <v>32</v>
      </c>
      <c r="L131" s="1">
        <v>45872</v>
      </c>
      <c r="M131" s="2" t="s">
        <v>29</v>
      </c>
      <c r="N131">
        <v>60</v>
      </c>
      <c r="O131" t="s">
        <v>446</v>
      </c>
      <c r="P131">
        <v>72.069999999999993</v>
      </c>
      <c r="Q131">
        <v>85.5</v>
      </c>
      <c r="R131">
        <v>2930.04</v>
      </c>
      <c r="S131">
        <v>0</v>
      </c>
      <c r="T131">
        <v>2930.04</v>
      </c>
      <c r="U131" s="2" t="s">
        <v>29</v>
      </c>
      <c r="V131" s="4"/>
      <c r="W131">
        <v>0</v>
      </c>
      <c r="X131" s="1"/>
      <c r="Y131">
        <v>0</v>
      </c>
      <c r="Z131">
        <v>7</v>
      </c>
      <c r="AA131">
        <v>2025</v>
      </c>
      <c r="AB131" t="s">
        <v>456</v>
      </c>
      <c r="AC131" s="2" t="s">
        <v>39</v>
      </c>
    </row>
    <row r="132" spans="1:29" x14ac:dyDescent="0.25">
      <c r="A132" s="1">
        <v>45870</v>
      </c>
      <c r="B132" s="1">
        <v>45877</v>
      </c>
      <c r="C132" s="2" t="s">
        <v>41</v>
      </c>
      <c r="D132" s="2" t="s">
        <v>28</v>
      </c>
      <c r="E132" s="3" t="s">
        <v>110</v>
      </c>
      <c r="F132" s="2" t="s">
        <v>150</v>
      </c>
      <c r="G132" s="2" t="s">
        <v>326</v>
      </c>
      <c r="H132" s="2" t="s">
        <v>45</v>
      </c>
      <c r="I132" s="2" t="s">
        <v>48</v>
      </c>
      <c r="J132" s="2" t="s">
        <v>29</v>
      </c>
      <c r="K132" s="2" t="s">
        <v>32</v>
      </c>
      <c r="L132" s="1">
        <v>45873</v>
      </c>
      <c r="M132" s="2" t="s">
        <v>29</v>
      </c>
      <c r="N132">
        <v>84</v>
      </c>
      <c r="O132" t="s">
        <v>446</v>
      </c>
      <c r="P132">
        <v>32.5</v>
      </c>
      <c r="Q132">
        <v>39.1</v>
      </c>
      <c r="R132">
        <v>0</v>
      </c>
      <c r="S132">
        <v>1339.95</v>
      </c>
      <c r="T132">
        <v>-1339.95</v>
      </c>
      <c r="U132" s="2" t="s">
        <v>29</v>
      </c>
      <c r="V132" s="4"/>
      <c r="W132">
        <v>0</v>
      </c>
      <c r="X132" s="1"/>
      <c r="Y132">
        <v>0</v>
      </c>
      <c r="Z132">
        <v>8</v>
      </c>
      <c r="AA132">
        <v>2025</v>
      </c>
      <c r="AB132" t="s">
        <v>457</v>
      </c>
      <c r="AC132" s="2" t="s">
        <v>46</v>
      </c>
    </row>
    <row r="133" spans="1:29" x14ac:dyDescent="0.25">
      <c r="A133" s="1">
        <v>45872</v>
      </c>
      <c r="B133" s="1">
        <v>45879</v>
      </c>
      <c r="C133" s="2" t="s">
        <v>41</v>
      </c>
      <c r="D133" s="2" t="s">
        <v>28</v>
      </c>
      <c r="E133" s="3" t="s">
        <v>138</v>
      </c>
      <c r="F133" s="2" t="s">
        <v>151</v>
      </c>
      <c r="G133" s="2" t="s">
        <v>327</v>
      </c>
      <c r="H133" s="2" t="s">
        <v>37</v>
      </c>
      <c r="I133" s="2" t="s">
        <v>48</v>
      </c>
      <c r="J133" s="2" t="s">
        <v>29</v>
      </c>
      <c r="K133" s="2" t="s">
        <v>32</v>
      </c>
      <c r="L133" s="1">
        <v>45875</v>
      </c>
      <c r="M133" s="2" t="s">
        <v>29</v>
      </c>
      <c r="N133">
        <v>60</v>
      </c>
      <c r="O133" t="s">
        <v>446</v>
      </c>
      <c r="P133">
        <v>32.96</v>
      </c>
      <c r="Q133">
        <v>39.1</v>
      </c>
      <c r="R133">
        <v>1339.95</v>
      </c>
      <c r="S133">
        <v>0</v>
      </c>
      <c r="T133">
        <v>1339.95</v>
      </c>
      <c r="U133" s="2" t="s">
        <v>29</v>
      </c>
      <c r="V133" s="4"/>
      <c r="W133">
        <v>0</v>
      </c>
      <c r="X133" s="1"/>
      <c r="Y133">
        <v>0</v>
      </c>
      <c r="Z133">
        <v>8</v>
      </c>
      <c r="AA133">
        <v>2025</v>
      </c>
      <c r="AB133" t="s">
        <v>457</v>
      </c>
      <c r="AC133" s="2" t="s">
        <v>39</v>
      </c>
    </row>
    <row r="134" spans="1:29" x14ac:dyDescent="0.25">
      <c r="A134" s="1">
        <v>45874</v>
      </c>
      <c r="B134" s="1">
        <v>45881</v>
      </c>
      <c r="C134" s="2" t="s">
        <v>41</v>
      </c>
      <c r="D134" s="2" t="s">
        <v>28</v>
      </c>
      <c r="E134" s="3" t="s">
        <v>111</v>
      </c>
      <c r="F134" s="2" t="s">
        <v>152</v>
      </c>
      <c r="G134" s="2" t="s">
        <v>328</v>
      </c>
      <c r="H134" s="2" t="s">
        <v>45</v>
      </c>
      <c r="I134" s="2" t="s">
        <v>48</v>
      </c>
      <c r="J134" s="2" t="s">
        <v>29</v>
      </c>
      <c r="K134" s="2" t="s">
        <v>32</v>
      </c>
      <c r="L134" s="1">
        <v>45877</v>
      </c>
      <c r="M134" s="2" t="s">
        <v>29</v>
      </c>
      <c r="N134">
        <v>84</v>
      </c>
      <c r="O134" t="s">
        <v>446</v>
      </c>
      <c r="P134">
        <v>58</v>
      </c>
      <c r="Q134">
        <v>87.94</v>
      </c>
      <c r="R134">
        <v>0</v>
      </c>
      <c r="S134">
        <v>2609.09</v>
      </c>
      <c r="T134">
        <v>-2609.09</v>
      </c>
      <c r="U134" s="2" t="s">
        <v>29</v>
      </c>
      <c r="V134" s="4"/>
      <c r="W134">
        <v>0</v>
      </c>
      <c r="X134" s="1"/>
      <c r="Y134">
        <v>0</v>
      </c>
      <c r="Z134">
        <v>8</v>
      </c>
      <c r="AA134">
        <v>2025</v>
      </c>
      <c r="AB134" t="s">
        <v>457</v>
      </c>
      <c r="AC134" s="2" t="s">
        <v>46</v>
      </c>
    </row>
    <row r="135" spans="1:29" x14ac:dyDescent="0.25">
      <c r="A135" s="1">
        <v>45875</v>
      </c>
      <c r="B135" s="1">
        <v>45882</v>
      </c>
      <c r="C135" s="2" t="s">
        <v>41</v>
      </c>
      <c r="D135" s="2" t="s">
        <v>28</v>
      </c>
      <c r="E135" s="3" t="s">
        <v>112</v>
      </c>
      <c r="F135" s="2" t="s">
        <v>153</v>
      </c>
      <c r="G135" s="2" t="s">
        <v>329</v>
      </c>
      <c r="H135" s="2" t="s">
        <v>37</v>
      </c>
      <c r="I135" s="2" t="s">
        <v>48</v>
      </c>
      <c r="J135" s="2" t="s">
        <v>29</v>
      </c>
      <c r="K135" s="2" t="s">
        <v>32</v>
      </c>
      <c r="L135" s="1">
        <v>45878</v>
      </c>
      <c r="M135" s="2" t="s">
        <v>29</v>
      </c>
      <c r="N135">
        <v>60</v>
      </c>
      <c r="O135" t="s">
        <v>446</v>
      </c>
      <c r="P135">
        <v>64.180000000000007</v>
      </c>
      <c r="Q135">
        <v>87.94</v>
      </c>
      <c r="R135">
        <v>2609.09</v>
      </c>
      <c r="S135">
        <v>0</v>
      </c>
      <c r="T135">
        <v>2609.09</v>
      </c>
      <c r="U135" s="2" t="s">
        <v>29</v>
      </c>
      <c r="V135" s="4"/>
      <c r="W135">
        <v>0</v>
      </c>
      <c r="X135" s="1"/>
      <c r="Y135">
        <v>0</v>
      </c>
      <c r="Z135">
        <v>8</v>
      </c>
      <c r="AA135">
        <v>2025</v>
      </c>
      <c r="AB135" t="s">
        <v>457</v>
      </c>
      <c r="AC135" s="2" t="s">
        <v>39</v>
      </c>
    </row>
    <row r="136" spans="1:29" x14ac:dyDescent="0.25">
      <c r="A136" s="1">
        <v>45877</v>
      </c>
      <c r="B136" s="1"/>
      <c r="C136" s="2" t="s">
        <v>41</v>
      </c>
      <c r="D136" s="2" t="s">
        <v>28</v>
      </c>
      <c r="E136" s="3" t="s">
        <v>85</v>
      </c>
      <c r="F136" s="2" t="s">
        <v>163</v>
      </c>
      <c r="G136" s="2" t="s">
        <v>330</v>
      </c>
      <c r="H136" s="2" t="s">
        <v>34</v>
      </c>
      <c r="I136" s="2" t="s">
        <v>48</v>
      </c>
      <c r="J136" s="2" t="s">
        <v>29</v>
      </c>
      <c r="K136" s="2" t="s">
        <v>32</v>
      </c>
      <c r="L136" s="1">
        <v>45880</v>
      </c>
      <c r="M136" s="2" t="s">
        <v>29</v>
      </c>
      <c r="N136">
        <v>84</v>
      </c>
      <c r="O136" t="s">
        <v>446</v>
      </c>
      <c r="P136">
        <v>896</v>
      </c>
      <c r="Q136">
        <v>1000</v>
      </c>
      <c r="R136">
        <v>0</v>
      </c>
      <c r="S136">
        <v>0</v>
      </c>
      <c r="T136">
        <v>0</v>
      </c>
      <c r="U136" s="2" t="s">
        <v>29</v>
      </c>
      <c r="V136" s="4"/>
      <c r="W136">
        <v>0</v>
      </c>
      <c r="X136" s="1"/>
      <c r="Y136">
        <v>0</v>
      </c>
      <c r="Z136">
        <v>8</v>
      </c>
      <c r="AA136">
        <v>2025</v>
      </c>
      <c r="AB136" t="s">
        <v>457</v>
      </c>
      <c r="AC136" s="2" t="s">
        <v>35</v>
      </c>
    </row>
    <row r="137" spans="1:29" x14ac:dyDescent="0.25">
      <c r="A137" s="1">
        <v>45879</v>
      </c>
      <c r="B137" s="1">
        <v>45886</v>
      </c>
      <c r="C137" s="2" t="s">
        <v>41</v>
      </c>
      <c r="D137" s="2" t="s">
        <v>28</v>
      </c>
      <c r="E137" s="3" t="s">
        <v>114</v>
      </c>
      <c r="F137" s="2" t="s">
        <v>155</v>
      </c>
      <c r="G137" s="2" t="s">
        <v>331</v>
      </c>
      <c r="H137" s="2" t="s">
        <v>45</v>
      </c>
      <c r="I137" s="2" t="s">
        <v>48</v>
      </c>
      <c r="J137" s="2" t="s">
        <v>29</v>
      </c>
      <c r="K137" s="2" t="s">
        <v>55</v>
      </c>
      <c r="L137" s="1">
        <v>45882</v>
      </c>
      <c r="M137" s="2" t="s">
        <v>29</v>
      </c>
      <c r="N137">
        <v>84</v>
      </c>
      <c r="O137" t="s">
        <v>446</v>
      </c>
      <c r="P137">
        <v>170</v>
      </c>
      <c r="Q137">
        <v>286.2</v>
      </c>
      <c r="R137">
        <v>8504.6299999999992</v>
      </c>
      <c r="S137">
        <v>8183.52</v>
      </c>
      <c r="T137">
        <v>321.11</v>
      </c>
      <c r="U137" s="2" t="s">
        <v>29</v>
      </c>
      <c r="V137" s="4"/>
      <c r="W137">
        <v>0</v>
      </c>
      <c r="X137" s="1"/>
      <c r="Y137">
        <v>0</v>
      </c>
      <c r="Z137">
        <v>8</v>
      </c>
      <c r="AA137">
        <v>2025</v>
      </c>
      <c r="AB137" t="s">
        <v>457</v>
      </c>
      <c r="AC137" s="2" t="s">
        <v>46</v>
      </c>
    </row>
    <row r="138" spans="1:29" x14ac:dyDescent="0.25">
      <c r="A138" s="1">
        <v>45880</v>
      </c>
      <c r="B138" s="1">
        <v>45887</v>
      </c>
      <c r="C138" s="2" t="s">
        <v>41</v>
      </c>
      <c r="D138" s="2" t="s">
        <v>28</v>
      </c>
      <c r="E138" s="3" t="s">
        <v>90</v>
      </c>
      <c r="F138" s="2" t="s">
        <v>168</v>
      </c>
      <c r="G138" s="2" t="s">
        <v>332</v>
      </c>
      <c r="H138" s="2" t="s">
        <v>37</v>
      </c>
      <c r="I138" s="2" t="s">
        <v>48</v>
      </c>
      <c r="J138" s="2" t="s">
        <v>29</v>
      </c>
      <c r="K138" s="2" t="s">
        <v>57</v>
      </c>
      <c r="L138" s="1">
        <v>45883</v>
      </c>
      <c r="M138" s="2" t="s">
        <v>29</v>
      </c>
      <c r="N138">
        <v>43</v>
      </c>
      <c r="O138" t="s">
        <v>448</v>
      </c>
      <c r="P138">
        <v>253.53</v>
      </c>
      <c r="Q138">
        <v>286.2</v>
      </c>
      <c r="R138">
        <v>8183.52</v>
      </c>
      <c r="S138">
        <v>0</v>
      </c>
      <c r="T138">
        <v>8183.52</v>
      </c>
      <c r="U138" s="2" t="s">
        <v>29</v>
      </c>
      <c r="V138" s="4"/>
      <c r="W138">
        <v>0</v>
      </c>
      <c r="X138" s="1">
        <v>45890</v>
      </c>
      <c r="Y138">
        <v>1</v>
      </c>
      <c r="Z138">
        <v>8</v>
      </c>
      <c r="AA138">
        <v>2025</v>
      </c>
      <c r="AB138" t="s">
        <v>457</v>
      </c>
      <c r="AC138" s="2" t="s">
        <v>39</v>
      </c>
    </row>
    <row r="139" spans="1:29" x14ac:dyDescent="0.25">
      <c r="A139" s="1">
        <v>45882</v>
      </c>
      <c r="B139" s="1"/>
      <c r="C139" s="2" t="s">
        <v>41</v>
      </c>
      <c r="D139" s="2" t="s">
        <v>28</v>
      </c>
      <c r="E139" s="3" t="s">
        <v>116</v>
      </c>
      <c r="F139" s="2" t="s">
        <v>148</v>
      </c>
      <c r="G139" s="2" t="s">
        <v>333</v>
      </c>
      <c r="H139" s="2" t="s">
        <v>45</v>
      </c>
      <c r="I139" s="2" t="s">
        <v>48</v>
      </c>
      <c r="J139" s="2" t="s">
        <v>29</v>
      </c>
      <c r="K139" s="2" t="s">
        <v>55</v>
      </c>
      <c r="L139" s="1">
        <v>45885</v>
      </c>
      <c r="M139" s="2" t="s">
        <v>29</v>
      </c>
      <c r="N139">
        <v>84</v>
      </c>
      <c r="O139" t="s">
        <v>446</v>
      </c>
      <c r="P139">
        <v>52.2</v>
      </c>
      <c r="Q139">
        <v>79.56</v>
      </c>
      <c r="R139">
        <v>2732.63</v>
      </c>
      <c r="S139">
        <v>2482.63</v>
      </c>
      <c r="T139">
        <v>250</v>
      </c>
      <c r="U139" s="2" t="s">
        <v>29</v>
      </c>
      <c r="V139" s="4"/>
      <c r="W139">
        <v>0</v>
      </c>
      <c r="X139" s="1"/>
      <c r="Y139">
        <v>0</v>
      </c>
      <c r="Z139">
        <v>8</v>
      </c>
      <c r="AA139">
        <v>2025</v>
      </c>
      <c r="AB139" t="s">
        <v>457</v>
      </c>
      <c r="AC139" s="2" t="s">
        <v>46</v>
      </c>
    </row>
    <row r="140" spans="1:29" x14ac:dyDescent="0.25">
      <c r="A140" s="1">
        <v>45884</v>
      </c>
      <c r="B140" s="1"/>
      <c r="C140" s="2" t="s">
        <v>41</v>
      </c>
      <c r="D140" s="2" t="s">
        <v>28</v>
      </c>
      <c r="E140" s="3" t="s">
        <v>80</v>
      </c>
      <c r="F140" s="2" t="s">
        <v>158</v>
      </c>
      <c r="G140" s="2" t="s">
        <v>334</v>
      </c>
      <c r="H140" s="2" t="s">
        <v>37</v>
      </c>
      <c r="I140" s="2" t="s">
        <v>48</v>
      </c>
      <c r="J140" s="2" t="s">
        <v>29</v>
      </c>
      <c r="K140" s="2" t="s">
        <v>56</v>
      </c>
      <c r="L140" s="1">
        <v>45887</v>
      </c>
      <c r="M140" s="2" t="s">
        <v>29</v>
      </c>
      <c r="N140">
        <v>45</v>
      </c>
      <c r="O140" t="s">
        <v>448</v>
      </c>
      <c r="P140">
        <v>72.16</v>
      </c>
      <c r="Q140">
        <v>79.56</v>
      </c>
      <c r="R140">
        <v>2482.63</v>
      </c>
      <c r="S140">
        <v>0</v>
      </c>
      <c r="T140">
        <v>2482.63</v>
      </c>
      <c r="U140" s="2" t="s">
        <v>29</v>
      </c>
      <c r="V140" s="4"/>
      <c r="W140">
        <v>0</v>
      </c>
      <c r="X140" s="1"/>
      <c r="Y140">
        <v>0</v>
      </c>
      <c r="Z140">
        <v>8</v>
      </c>
      <c r="AA140">
        <v>2025</v>
      </c>
      <c r="AB140" t="s">
        <v>457</v>
      </c>
      <c r="AC140" s="2" t="s">
        <v>39</v>
      </c>
    </row>
    <row r="141" spans="1:29" x14ac:dyDescent="0.25">
      <c r="A141" s="1">
        <v>45885</v>
      </c>
      <c r="B141" s="1"/>
      <c r="C141" s="2" t="s">
        <v>41</v>
      </c>
      <c r="D141" s="2" t="s">
        <v>28</v>
      </c>
      <c r="E141" s="3" t="s">
        <v>118</v>
      </c>
      <c r="F141" s="2" t="s">
        <v>157</v>
      </c>
      <c r="G141" s="2" t="s">
        <v>335</v>
      </c>
      <c r="H141" s="2" t="s">
        <v>45</v>
      </c>
      <c r="I141" s="2" t="s">
        <v>48</v>
      </c>
      <c r="J141" s="2" t="s">
        <v>29</v>
      </c>
      <c r="K141" s="2" t="s">
        <v>52</v>
      </c>
      <c r="L141" s="1">
        <v>45888</v>
      </c>
      <c r="M141" s="2" t="s">
        <v>29</v>
      </c>
      <c r="N141">
        <v>84</v>
      </c>
      <c r="O141" t="s">
        <v>446</v>
      </c>
      <c r="P141">
        <v>121.5</v>
      </c>
      <c r="Q141">
        <v>166.3</v>
      </c>
      <c r="R141">
        <v>6377.11</v>
      </c>
      <c r="S141">
        <v>6127.11</v>
      </c>
      <c r="T141">
        <v>250</v>
      </c>
      <c r="U141" s="2" t="s">
        <v>29</v>
      </c>
      <c r="V141" s="4"/>
      <c r="W141">
        <v>0</v>
      </c>
      <c r="X141" s="1"/>
      <c r="Y141">
        <v>0</v>
      </c>
      <c r="Z141">
        <v>8</v>
      </c>
      <c r="AA141">
        <v>2025</v>
      </c>
      <c r="AB141" t="s">
        <v>457</v>
      </c>
      <c r="AC141" s="2" t="s">
        <v>46</v>
      </c>
    </row>
    <row r="142" spans="1:29" x14ac:dyDescent="0.25">
      <c r="A142" s="1">
        <v>45887</v>
      </c>
      <c r="B142" s="1"/>
      <c r="C142" s="2" t="s">
        <v>41</v>
      </c>
      <c r="D142" s="2" t="s">
        <v>28</v>
      </c>
      <c r="E142" s="3" t="s">
        <v>119</v>
      </c>
      <c r="F142" s="2" t="s">
        <v>185</v>
      </c>
      <c r="G142" s="2" t="s">
        <v>336</v>
      </c>
      <c r="H142" s="2" t="s">
        <v>37</v>
      </c>
      <c r="I142" s="2" t="s">
        <v>48</v>
      </c>
      <c r="J142" s="2" t="s">
        <v>29</v>
      </c>
      <c r="K142" s="2" t="s">
        <v>52</v>
      </c>
      <c r="L142" s="1">
        <v>45890</v>
      </c>
      <c r="M142" s="2" t="s">
        <v>29</v>
      </c>
      <c r="N142">
        <v>57</v>
      </c>
      <c r="O142" t="s">
        <v>448</v>
      </c>
      <c r="P142">
        <v>149.72</v>
      </c>
      <c r="Q142">
        <v>166.3</v>
      </c>
      <c r="R142">
        <v>6127.11</v>
      </c>
      <c r="S142">
        <v>0</v>
      </c>
      <c r="T142">
        <v>6127.11</v>
      </c>
      <c r="U142" s="2" t="s">
        <v>29</v>
      </c>
      <c r="V142" s="4"/>
      <c r="W142">
        <v>0</v>
      </c>
      <c r="X142" s="1"/>
      <c r="Y142">
        <v>0</v>
      </c>
      <c r="Z142">
        <v>8</v>
      </c>
      <c r="AA142">
        <v>2025</v>
      </c>
      <c r="AB142" t="s">
        <v>457</v>
      </c>
      <c r="AC142" s="2" t="s">
        <v>39</v>
      </c>
    </row>
    <row r="143" spans="1:29" x14ac:dyDescent="0.25">
      <c r="A143" s="1">
        <v>45889</v>
      </c>
      <c r="B143" s="1"/>
      <c r="C143" s="2" t="s">
        <v>41</v>
      </c>
      <c r="D143" s="2" t="s">
        <v>28</v>
      </c>
      <c r="E143" s="3" t="s">
        <v>120</v>
      </c>
      <c r="F143" s="2" t="s">
        <v>159</v>
      </c>
      <c r="G143" s="2" t="s">
        <v>337</v>
      </c>
      <c r="H143" s="2" t="s">
        <v>58</v>
      </c>
      <c r="I143" s="2" t="s">
        <v>59</v>
      </c>
      <c r="J143" s="2" t="s">
        <v>29</v>
      </c>
      <c r="K143" s="2" t="s">
        <v>52</v>
      </c>
      <c r="L143" s="1">
        <v>45892</v>
      </c>
      <c r="M143" s="2" t="s">
        <v>29</v>
      </c>
      <c r="N143">
        <v>84</v>
      </c>
      <c r="O143" t="s">
        <v>446</v>
      </c>
      <c r="P143">
        <v>0</v>
      </c>
      <c r="Q143">
        <v>485.46</v>
      </c>
      <c r="R143">
        <v>12500</v>
      </c>
      <c r="S143">
        <v>0</v>
      </c>
      <c r="T143">
        <v>12500</v>
      </c>
      <c r="U143" s="2" t="s">
        <v>29</v>
      </c>
      <c r="V143" s="4"/>
      <c r="W143">
        <v>0</v>
      </c>
      <c r="X143" s="1"/>
      <c r="Y143">
        <v>0</v>
      </c>
      <c r="Z143">
        <v>8</v>
      </c>
      <c r="AA143">
        <v>2025</v>
      </c>
      <c r="AB143" t="s">
        <v>457</v>
      </c>
      <c r="AC143" s="2" t="s">
        <v>58</v>
      </c>
    </row>
    <row r="144" spans="1:29" x14ac:dyDescent="0.25">
      <c r="A144" s="1">
        <v>45890</v>
      </c>
      <c r="B144" s="1"/>
      <c r="C144" s="2" t="s">
        <v>41</v>
      </c>
      <c r="D144" s="2" t="s">
        <v>60</v>
      </c>
      <c r="E144" s="3" t="s">
        <v>139</v>
      </c>
      <c r="F144" s="2" t="s">
        <v>188</v>
      </c>
      <c r="G144" s="2" t="s">
        <v>338</v>
      </c>
      <c r="H144" s="2" t="s">
        <v>58</v>
      </c>
      <c r="I144" s="2" t="s">
        <v>59</v>
      </c>
      <c r="J144" s="2" t="s">
        <v>29</v>
      </c>
      <c r="K144" s="2" t="s">
        <v>23</v>
      </c>
      <c r="L144" s="1">
        <v>45893</v>
      </c>
      <c r="M144" s="2" t="s">
        <v>29</v>
      </c>
      <c r="N144">
        <v>96</v>
      </c>
      <c r="O144" t="s">
        <v>449</v>
      </c>
      <c r="P144">
        <v>0</v>
      </c>
      <c r="Q144">
        <v>285.77999999999997</v>
      </c>
      <c r="R144">
        <v>11393.37</v>
      </c>
      <c r="S144">
        <v>0</v>
      </c>
      <c r="T144">
        <v>11393.37</v>
      </c>
      <c r="U144" s="2" t="s">
        <v>29</v>
      </c>
      <c r="V144" s="4"/>
      <c r="W144">
        <v>0</v>
      </c>
      <c r="X144" s="1">
        <v>45900</v>
      </c>
      <c r="Y144">
        <v>1</v>
      </c>
      <c r="Z144">
        <v>8</v>
      </c>
      <c r="AA144">
        <v>2025</v>
      </c>
      <c r="AB144" t="s">
        <v>457</v>
      </c>
      <c r="AC144" s="2" t="s">
        <v>58</v>
      </c>
    </row>
    <row r="145" spans="1:29" x14ac:dyDescent="0.25">
      <c r="A145" s="1">
        <v>45892</v>
      </c>
      <c r="B145" s="1">
        <v>45899</v>
      </c>
      <c r="C145" s="2" t="s">
        <v>44</v>
      </c>
      <c r="D145" s="2" t="s">
        <v>28</v>
      </c>
      <c r="E145" s="3" t="s">
        <v>140</v>
      </c>
      <c r="F145" s="2" t="s">
        <v>160</v>
      </c>
      <c r="G145" s="2" t="s">
        <v>339</v>
      </c>
      <c r="H145" s="2" t="s">
        <v>37</v>
      </c>
      <c r="I145" s="2" t="s">
        <v>48</v>
      </c>
      <c r="J145" s="2" t="s">
        <v>29</v>
      </c>
      <c r="K145" s="2" t="s">
        <v>32</v>
      </c>
      <c r="L145" s="1">
        <v>45895</v>
      </c>
      <c r="M145" s="2" t="s">
        <v>29</v>
      </c>
      <c r="N145">
        <v>43</v>
      </c>
      <c r="O145" t="s">
        <v>448</v>
      </c>
      <c r="P145">
        <v>475.75</v>
      </c>
      <c r="Q145">
        <v>488.74</v>
      </c>
      <c r="R145">
        <v>0</v>
      </c>
      <c r="S145">
        <v>0</v>
      </c>
      <c r="T145">
        <v>0</v>
      </c>
      <c r="U145" s="2" t="s">
        <v>29</v>
      </c>
      <c r="V145" s="4"/>
      <c r="W145">
        <v>0</v>
      </c>
      <c r="X145" s="1"/>
      <c r="Y145">
        <v>0</v>
      </c>
      <c r="Z145">
        <v>8</v>
      </c>
      <c r="AA145">
        <v>2025</v>
      </c>
      <c r="AB145" t="s">
        <v>457</v>
      </c>
      <c r="AC145" s="2" t="s">
        <v>39</v>
      </c>
    </row>
    <row r="146" spans="1:29" x14ac:dyDescent="0.25">
      <c r="A146" s="1">
        <v>45894</v>
      </c>
      <c r="B146" s="1"/>
      <c r="C146" s="2" t="s">
        <v>36</v>
      </c>
      <c r="D146" s="2" t="s">
        <v>28</v>
      </c>
      <c r="E146" s="3" t="s">
        <v>121</v>
      </c>
      <c r="F146" s="2" t="s">
        <v>161</v>
      </c>
      <c r="G146" s="2" t="s">
        <v>340</v>
      </c>
      <c r="H146" s="2" t="s">
        <v>45</v>
      </c>
      <c r="I146" s="2" t="s">
        <v>47</v>
      </c>
      <c r="J146" s="2" t="s">
        <v>29</v>
      </c>
      <c r="K146" s="2" t="s">
        <v>38</v>
      </c>
      <c r="L146" s="1">
        <v>45897</v>
      </c>
      <c r="M146" s="2" t="s">
        <v>29</v>
      </c>
      <c r="N146">
        <v>84</v>
      </c>
      <c r="O146" t="s">
        <v>446</v>
      </c>
      <c r="P146">
        <v>355</v>
      </c>
      <c r="Q146">
        <v>506.98</v>
      </c>
      <c r="R146">
        <v>17685.169999999998</v>
      </c>
      <c r="S146">
        <v>17500</v>
      </c>
      <c r="T146">
        <v>185.17</v>
      </c>
      <c r="U146" s="2" t="s">
        <v>29</v>
      </c>
      <c r="V146" s="4"/>
      <c r="W146">
        <v>0</v>
      </c>
      <c r="X146" s="1"/>
      <c r="Y146">
        <v>0</v>
      </c>
      <c r="Z146">
        <v>8</v>
      </c>
      <c r="AA146">
        <v>2025</v>
      </c>
      <c r="AB146" t="s">
        <v>457</v>
      </c>
      <c r="AC146" s="2" t="s">
        <v>46</v>
      </c>
    </row>
    <row r="147" spans="1:29" x14ac:dyDescent="0.25">
      <c r="A147" s="1">
        <v>45895</v>
      </c>
      <c r="B147" s="1"/>
      <c r="C147" s="2" t="s">
        <v>36</v>
      </c>
      <c r="D147" s="2" t="s">
        <v>28</v>
      </c>
      <c r="E147" s="3" t="s">
        <v>141</v>
      </c>
      <c r="F147" s="2" t="s">
        <v>162</v>
      </c>
      <c r="G147" s="2" t="s">
        <v>341</v>
      </c>
      <c r="H147" s="2" t="s">
        <v>37</v>
      </c>
      <c r="I147" s="2" t="s">
        <v>47</v>
      </c>
      <c r="J147" s="2" t="s">
        <v>29</v>
      </c>
      <c r="K147" s="2" t="s">
        <v>38</v>
      </c>
      <c r="L147" s="1">
        <v>45898</v>
      </c>
      <c r="M147" s="2" t="s">
        <v>29</v>
      </c>
      <c r="N147">
        <v>46</v>
      </c>
      <c r="O147" t="s">
        <v>448</v>
      </c>
      <c r="P147">
        <v>506.16</v>
      </c>
      <c r="Q147">
        <v>506.98</v>
      </c>
      <c r="R147">
        <v>17500</v>
      </c>
      <c r="S147">
        <v>0</v>
      </c>
      <c r="T147">
        <v>17500</v>
      </c>
      <c r="U147" s="2" t="s">
        <v>29</v>
      </c>
      <c r="V147" s="4"/>
      <c r="W147">
        <v>0</v>
      </c>
      <c r="X147" s="1"/>
      <c r="Y147">
        <v>0</v>
      </c>
      <c r="Z147">
        <v>8</v>
      </c>
      <c r="AA147">
        <v>2025</v>
      </c>
      <c r="AB147" t="s">
        <v>457</v>
      </c>
      <c r="AC147" s="2" t="s">
        <v>39</v>
      </c>
    </row>
    <row r="148" spans="1:29" x14ac:dyDescent="0.25">
      <c r="A148" s="1">
        <v>45897</v>
      </c>
      <c r="B148" s="1"/>
      <c r="C148" s="2" t="s">
        <v>27</v>
      </c>
      <c r="D148" s="2" t="s">
        <v>28</v>
      </c>
      <c r="E148" s="3" t="s">
        <v>142</v>
      </c>
      <c r="F148" s="2" t="s">
        <v>194</v>
      </c>
      <c r="G148" s="2" t="s">
        <v>342</v>
      </c>
      <c r="H148" s="2" t="s">
        <v>45</v>
      </c>
      <c r="I148" s="2" t="s">
        <v>48</v>
      </c>
      <c r="J148" s="2" t="s">
        <v>29</v>
      </c>
      <c r="K148" s="2" t="s">
        <v>32</v>
      </c>
      <c r="L148" s="1">
        <v>45900</v>
      </c>
      <c r="M148" s="2" t="s">
        <v>29</v>
      </c>
      <c r="N148">
        <v>0</v>
      </c>
      <c r="O148" t="s">
        <v>447</v>
      </c>
      <c r="P148">
        <v>0</v>
      </c>
      <c r="Q148">
        <v>387.78</v>
      </c>
      <c r="R148">
        <v>0</v>
      </c>
      <c r="S148">
        <v>0</v>
      </c>
      <c r="T148">
        <v>0</v>
      </c>
      <c r="U148" s="2" t="s">
        <v>29</v>
      </c>
      <c r="V148" s="4"/>
      <c r="W148">
        <v>0</v>
      </c>
      <c r="X148" s="1"/>
      <c r="Y148">
        <v>0</v>
      </c>
      <c r="Z148">
        <v>8</v>
      </c>
      <c r="AA148">
        <v>2025</v>
      </c>
      <c r="AB148" t="s">
        <v>457</v>
      </c>
      <c r="AC148" s="2" t="s">
        <v>46</v>
      </c>
    </row>
    <row r="149" spans="1:29" x14ac:dyDescent="0.25">
      <c r="A149" s="1">
        <v>45899</v>
      </c>
      <c r="B149" s="1"/>
      <c r="C149" s="2" t="s">
        <v>27</v>
      </c>
      <c r="D149" s="2" t="s">
        <v>28</v>
      </c>
      <c r="E149" s="3" t="s">
        <v>122</v>
      </c>
      <c r="F149" s="2" t="s">
        <v>170</v>
      </c>
      <c r="G149" s="2" t="s">
        <v>343</v>
      </c>
      <c r="H149" s="2" t="s">
        <v>37</v>
      </c>
      <c r="I149" s="2" t="s">
        <v>48</v>
      </c>
      <c r="J149" s="2" t="s">
        <v>29</v>
      </c>
      <c r="K149" s="2" t="s">
        <v>32</v>
      </c>
      <c r="L149" s="1">
        <v>45902</v>
      </c>
      <c r="M149" s="2" t="s">
        <v>29</v>
      </c>
      <c r="N149">
        <v>0</v>
      </c>
      <c r="O149" t="s">
        <v>447</v>
      </c>
      <c r="P149">
        <v>0</v>
      </c>
      <c r="Q149">
        <v>387.78</v>
      </c>
      <c r="R149">
        <v>0</v>
      </c>
      <c r="S149">
        <v>0</v>
      </c>
      <c r="T149">
        <v>0</v>
      </c>
      <c r="U149" s="2" t="s">
        <v>29</v>
      </c>
      <c r="V149" s="4"/>
      <c r="W149">
        <v>0</v>
      </c>
      <c r="X149" s="1"/>
      <c r="Y149">
        <v>0</v>
      </c>
      <c r="Z149">
        <v>8</v>
      </c>
      <c r="AA149">
        <v>2025</v>
      </c>
      <c r="AB149" t="s">
        <v>457</v>
      </c>
      <c r="AC149" s="2" t="s">
        <v>39</v>
      </c>
    </row>
    <row r="150" spans="1:29" x14ac:dyDescent="0.25">
      <c r="A150" s="1">
        <v>45901</v>
      </c>
      <c r="B150" s="1"/>
      <c r="C150" s="2" t="s">
        <v>27</v>
      </c>
      <c r="D150" s="2" t="s">
        <v>28</v>
      </c>
      <c r="E150" s="3" t="s">
        <v>69</v>
      </c>
      <c r="F150" s="2" t="s">
        <v>147</v>
      </c>
      <c r="G150" s="2" t="s">
        <v>344</v>
      </c>
      <c r="H150" s="2" t="s">
        <v>45</v>
      </c>
      <c r="I150" s="2" t="s">
        <v>48</v>
      </c>
      <c r="J150" s="2" t="s">
        <v>29</v>
      </c>
      <c r="K150" s="2" t="s">
        <v>32</v>
      </c>
      <c r="L150" s="1">
        <v>45904</v>
      </c>
      <c r="M150" s="2" t="s">
        <v>29</v>
      </c>
      <c r="N150">
        <v>84</v>
      </c>
      <c r="O150" t="s">
        <v>446</v>
      </c>
      <c r="P150">
        <v>0</v>
      </c>
      <c r="Q150">
        <v>471</v>
      </c>
      <c r="R150">
        <v>0</v>
      </c>
      <c r="S150">
        <v>0</v>
      </c>
      <c r="T150">
        <v>0</v>
      </c>
      <c r="U150" s="2" t="s">
        <v>29</v>
      </c>
      <c r="V150" s="4"/>
      <c r="W150">
        <v>0</v>
      </c>
      <c r="X150" s="1"/>
      <c r="Y150">
        <v>0</v>
      </c>
      <c r="Z150">
        <v>9</v>
      </c>
      <c r="AA150">
        <v>2025</v>
      </c>
      <c r="AB150" t="s">
        <v>458</v>
      </c>
      <c r="AC150" s="2" t="s">
        <v>46</v>
      </c>
    </row>
    <row r="151" spans="1:29" x14ac:dyDescent="0.25">
      <c r="A151" s="1">
        <v>45902</v>
      </c>
      <c r="B151" s="1"/>
      <c r="C151" s="2" t="s">
        <v>27</v>
      </c>
      <c r="D151" s="2" t="s">
        <v>28</v>
      </c>
      <c r="E151" s="3" t="s">
        <v>123</v>
      </c>
      <c r="F151" s="2" t="s">
        <v>164</v>
      </c>
      <c r="G151" s="2" t="s">
        <v>345</v>
      </c>
      <c r="H151" s="2" t="s">
        <v>37</v>
      </c>
      <c r="I151" s="2" t="s">
        <v>48</v>
      </c>
      <c r="J151" s="2" t="s">
        <v>29</v>
      </c>
      <c r="K151" s="2" t="s">
        <v>32</v>
      </c>
      <c r="L151" s="1">
        <v>45905</v>
      </c>
      <c r="M151" s="2" t="s">
        <v>29</v>
      </c>
      <c r="N151">
        <v>0</v>
      </c>
      <c r="O151" t="s">
        <v>447</v>
      </c>
      <c r="P151">
        <v>0</v>
      </c>
      <c r="Q151">
        <v>471</v>
      </c>
      <c r="R151">
        <v>0</v>
      </c>
      <c r="S151">
        <v>0</v>
      </c>
      <c r="T151">
        <v>0</v>
      </c>
      <c r="U151" s="2" t="s">
        <v>29</v>
      </c>
      <c r="V151" s="4"/>
      <c r="W151">
        <v>0</v>
      </c>
      <c r="X151" s="1"/>
      <c r="Y151">
        <v>0</v>
      </c>
      <c r="Z151">
        <v>9</v>
      </c>
      <c r="AA151">
        <v>2025</v>
      </c>
      <c r="AB151" t="s">
        <v>458</v>
      </c>
      <c r="AC151" s="2" t="s">
        <v>39</v>
      </c>
    </row>
    <row r="152" spans="1:29" x14ac:dyDescent="0.25">
      <c r="A152" s="1">
        <v>45904</v>
      </c>
      <c r="B152" s="1"/>
      <c r="C152" s="2" t="s">
        <v>41</v>
      </c>
      <c r="D152" s="2" t="s">
        <v>28</v>
      </c>
      <c r="E152" s="3" t="s">
        <v>124</v>
      </c>
      <c r="F152" s="2" t="s">
        <v>165</v>
      </c>
      <c r="G152" s="2" t="s">
        <v>346</v>
      </c>
      <c r="H152" s="2" t="s">
        <v>45</v>
      </c>
      <c r="I152" s="2" t="s">
        <v>48</v>
      </c>
      <c r="J152" s="2" t="s">
        <v>29</v>
      </c>
      <c r="K152" s="2" t="s">
        <v>32</v>
      </c>
      <c r="L152" s="1">
        <v>45907</v>
      </c>
      <c r="M152" s="2" t="s">
        <v>29</v>
      </c>
      <c r="N152">
        <v>84</v>
      </c>
      <c r="O152" t="s">
        <v>446</v>
      </c>
      <c r="P152">
        <v>0</v>
      </c>
      <c r="Q152">
        <v>29.25</v>
      </c>
      <c r="R152">
        <v>0</v>
      </c>
      <c r="S152">
        <v>0</v>
      </c>
      <c r="T152">
        <v>0</v>
      </c>
      <c r="U152" s="2" t="s">
        <v>29</v>
      </c>
      <c r="V152" s="4"/>
      <c r="W152">
        <v>0</v>
      </c>
      <c r="X152" s="1"/>
      <c r="Y152">
        <v>0</v>
      </c>
      <c r="Z152">
        <v>9</v>
      </c>
      <c r="AA152">
        <v>2025</v>
      </c>
      <c r="AB152" t="s">
        <v>458</v>
      </c>
      <c r="AC152" s="2" t="s">
        <v>46</v>
      </c>
    </row>
    <row r="153" spans="1:29" x14ac:dyDescent="0.25">
      <c r="A153" s="1">
        <v>45905</v>
      </c>
      <c r="B153" s="1"/>
      <c r="C153" s="2" t="s">
        <v>41</v>
      </c>
      <c r="D153" s="2" t="s">
        <v>28</v>
      </c>
      <c r="E153" s="3" t="s">
        <v>143</v>
      </c>
      <c r="F153" s="2" t="s">
        <v>166</v>
      </c>
      <c r="G153" s="2" t="s">
        <v>347</v>
      </c>
      <c r="H153" s="2" t="s">
        <v>37</v>
      </c>
      <c r="I153" s="2" t="s">
        <v>48</v>
      </c>
      <c r="J153" s="2" t="s">
        <v>29</v>
      </c>
      <c r="K153" s="2" t="s">
        <v>32</v>
      </c>
      <c r="L153" s="1">
        <v>45908</v>
      </c>
      <c r="M153" s="2" t="s">
        <v>29</v>
      </c>
      <c r="N153">
        <v>0</v>
      </c>
      <c r="O153" t="s">
        <v>447</v>
      </c>
      <c r="P153">
        <v>0</v>
      </c>
      <c r="Q153">
        <v>29.25</v>
      </c>
      <c r="R153">
        <v>0</v>
      </c>
      <c r="S153">
        <v>0</v>
      </c>
      <c r="T153">
        <v>0</v>
      </c>
      <c r="U153" s="2" t="s">
        <v>29</v>
      </c>
      <c r="V153" s="4"/>
      <c r="W153">
        <v>0</v>
      </c>
      <c r="X153" s="1"/>
      <c r="Y153">
        <v>0</v>
      </c>
      <c r="Z153">
        <v>9</v>
      </c>
      <c r="AA153">
        <v>2025</v>
      </c>
      <c r="AB153" t="s">
        <v>458</v>
      </c>
      <c r="AC153" s="2" t="s">
        <v>39</v>
      </c>
    </row>
    <row r="154" spans="1:29" x14ac:dyDescent="0.25">
      <c r="A154" s="1">
        <v>45907</v>
      </c>
      <c r="B154" s="1"/>
      <c r="C154" s="2" t="s">
        <v>41</v>
      </c>
      <c r="D154" s="2" t="s">
        <v>28</v>
      </c>
      <c r="E154" s="3" t="s">
        <v>126</v>
      </c>
      <c r="F154" s="2" t="s">
        <v>167</v>
      </c>
      <c r="G154" s="2" t="s">
        <v>348</v>
      </c>
      <c r="H154" s="2" t="s">
        <v>45</v>
      </c>
      <c r="I154" s="2" t="s">
        <v>48</v>
      </c>
      <c r="J154" s="2" t="s">
        <v>29</v>
      </c>
      <c r="K154" s="2" t="s">
        <v>32</v>
      </c>
      <c r="L154" s="1">
        <v>45910</v>
      </c>
      <c r="M154" s="2" t="s">
        <v>29</v>
      </c>
      <c r="N154">
        <v>84</v>
      </c>
      <c r="O154" t="s">
        <v>446</v>
      </c>
      <c r="P154">
        <v>0</v>
      </c>
      <c r="Q154">
        <v>135.80000000000001</v>
      </c>
      <c r="R154">
        <v>0</v>
      </c>
      <c r="S154">
        <v>0</v>
      </c>
      <c r="T154">
        <v>0</v>
      </c>
      <c r="U154" s="2" t="s">
        <v>29</v>
      </c>
      <c r="V154" s="4"/>
      <c r="W154">
        <v>0</v>
      </c>
      <c r="X154" s="1"/>
      <c r="Y154">
        <v>0</v>
      </c>
      <c r="Z154">
        <v>9</v>
      </c>
      <c r="AA154">
        <v>2025</v>
      </c>
      <c r="AB154" t="s">
        <v>458</v>
      </c>
      <c r="AC154" s="2" t="s">
        <v>46</v>
      </c>
    </row>
    <row r="155" spans="1:29" x14ac:dyDescent="0.25">
      <c r="A155" s="1">
        <v>45909</v>
      </c>
      <c r="B155" s="1"/>
      <c r="C155" s="2" t="s">
        <v>41</v>
      </c>
      <c r="D155" s="2" t="s">
        <v>28</v>
      </c>
      <c r="E155" s="3" t="s">
        <v>127</v>
      </c>
      <c r="F155" s="2" t="s">
        <v>186</v>
      </c>
      <c r="G155" s="2" t="s">
        <v>349</v>
      </c>
      <c r="H155" s="2" t="s">
        <v>37</v>
      </c>
      <c r="I155" s="2" t="s">
        <v>48</v>
      </c>
      <c r="J155" s="2" t="s">
        <v>29</v>
      </c>
      <c r="K155" s="2" t="s">
        <v>32</v>
      </c>
      <c r="L155" s="1">
        <v>45912</v>
      </c>
      <c r="M155" s="2" t="s">
        <v>29</v>
      </c>
      <c r="N155">
        <v>0</v>
      </c>
      <c r="O155" t="s">
        <v>447</v>
      </c>
      <c r="P155">
        <v>0</v>
      </c>
      <c r="Q155">
        <v>135.80000000000001</v>
      </c>
      <c r="R155">
        <v>0</v>
      </c>
      <c r="S155">
        <v>0</v>
      </c>
      <c r="T155">
        <v>0</v>
      </c>
      <c r="U155" s="2" t="s">
        <v>29</v>
      </c>
      <c r="V155" s="4"/>
      <c r="W155">
        <v>0</v>
      </c>
      <c r="X155" s="1"/>
      <c r="Y155">
        <v>0</v>
      </c>
      <c r="Z155">
        <v>9</v>
      </c>
      <c r="AA155">
        <v>2025</v>
      </c>
      <c r="AB155" t="s">
        <v>458</v>
      </c>
      <c r="AC155" s="2" t="s">
        <v>39</v>
      </c>
    </row>
    <row r="156" spans="1:29" x14ac:dyDescent="0.25">
      <c r="A156" s="1">
        <v>45910</v>
      </c>
      <c r="B156" s="1"/>
      <c r="C156" s="2" t="s">
        <v>41</v>
      </c>
      <c r="D156" s="2" t="s">
        <v>28</v>
      </c>
      <c r="E156" s="3" t="s">
        <v>128</v>
      </c>
      <c r="F156" s="2" t="s">
        <v>168</v>
      </c>
      <c r="G156" s="2" t="s">
        <v>350</v>
      </c>
      <c r="H156" s="2" t="s">
        <v>45</v>
      </c>
      <c r="I156" s="2" t="s">
        <v>48</v>
      </c>
      <c r="J156" s="2" t="s">
        <v>29</v>
      </c>
      <c r="K156" s="2" t="s">
        <v>32</v>
      </c>
      <c r="L156" s="1">
        <v>45913</v>
      </c>
      <c r="M156" s="2" t="s">
        <v>29</v>
      </c>
      <c r="N156">
        <v>84</v>
      </c>
      <c r="O156" t="s">
        <v>446</v>
      </c>
      <c r="P156">
        <v>0</v>
      </c>
      <c r="Q156">
        <v>75.739999999999995</v>
      </c>
      <c r="R156">
        <v>0</v>
      </c>
      <c r="S156">
        <v>0</v>
      </c>
      <c r="T156">
        <v>0</v>
      </c>
      <c r="U156" s="2" t="s">
        <v>29</v>
      </c>
      <c r="V156" s="4"/>
      <c r="W156">
        <v>0</v>
      </c>
      <c r="X156" s="1"/>
      <c r="Y156">
        <v>0</v>
      </c>
      <c r="Z156">
        <v>9</v>
      </c>
      <c r="AA156">
        <v>2025</v>
      </c>
      <c r="AB156" t="s">
        <v>458</v>
      </c>
      <c r="AC156" s="2" t="s">
        <v>46</v>
      </c>
    </row>
    <row r="157" spans="1:29" x14ac:dyDescent="0.25">
      <c r="A157" s="1">
        <v>45912</v>
      </c>
      <c r="B157" s="1"/>
      <c r="C157" s="2" t="s">
        <v>41</v>
      </c>
      <c r="D157" s="2" t="s">
        <v>28</v>
      </c>
      <c r="E157" s="3" t="s">
        <v>129</v>
      </c>
      <c r="F157" s="2" t="s">
        <v>169</v>
      </c>
      <c r="G157" s="2" t="s">
        <v>351</v>
      </c>
      <c r="H157" s="2" t="s">
        <v>37</v>
      </c>
      <c r="I157" s="2" t="s">
        <v>48</v>
      </c>
      <c r="J157" s="2" t="s">
        <v>29</v>
      </c>
      <c r="K157" s="2" t="s">
        <v>32</v>
      </c>
      <c r="L157" s="1">
        <v>45915</v>
      </c>
      <c r="M157" s="2" t="s">
        <v>29</v>
      </c>
      <c r="N157">
        <v>0</v>
      </c>
      <c r="O157" t="s">
        <v>447</v>
      </c>
      <c r="P157">
        <v>0</v>
      </c>
      <c r="Q157">
        <v>75.739999999999995</v>
      </c>
      <c r="R157">
        <v>0</v>
      </c>
      <c r="S157">
        <v>0</v>
      </c>
      <c r="T157">
        <v>0</v>
      </c>
      <c r="U157" s="2" t="s">
        <v>29</v>
      </c>
      <c r="V157" s="4"/>
      <c r="W157">
        <v>0</v>
      </c>
      <c r="X157" s="1"/>
      <c r="Y157">
        <v>0</v>
      </c>
      <c r="Z157">
        <v>9</v>
      </c>
      <c r="AA157">
        <v>2025</v>
      </c>
      <c r="AB157" t="s">
        <v>458</v>
      </c>
      <c r="AC157" s="2" t="s">
        <v>39</v>
      </c>
    </row>
    <row r="158" spans="1:29" x14ac:dyDescent="0.25">
      <c r="A158" s="1">
        <v>45913</v>
      </c>
      <c r="B158" s="1"/>
      <c r="C158" s="2" t="s">
        <v>41</v>
      </c>
      <c r="D158" s="2" t="s">
        <v>28</v>
      </c>
      <c r="E158" s="3" t="s">
        <v>68</v>
      </c>
      <c r="F158" s="2" t="s">
        <v>146</v>
      </c>
      <c r="G158" s="2" t="s">
        <v>352</v>
      </c>
      <c r="H158" s="2" t="s">
        <v>45</v>
      </c>
      <c r="I158" s="2" t="s">
        <v>48</v>
      </c>
      <c r="J158" s="2" t="s">
        <v>29</v>
      </c>
      <c r="K158" s="2" t="s">
        <v>32</v>
      </c>
      <c r="L158" s="1">
        <v>45916</v>
      </c>
      <c r="M158" s="2" t="s">
        <v>29</v>
      </c>
      <c r="N158">
        <v>84</v>
      </c>
      <c r="O158" t="s">
        <v>446</v>
      </c>
      <c r="P158">
        <v>0</v>
      </c>
      <c r="Q158">
        <v>111</v>
      </c>
      <c r="R158">
        <v>0</v>
      </c>
      <c r="S158">
        <v>0</v>
      </c>
      <c r="T158">
        <v>0</v>
      </c>
      <c r="U158" s="2" t="s">
        <v>29</v>
      </c>
      <c r="V158" s="4"/>
      <c r="W158">
        <v>0</v>
      </c>
      <c r="X158" s="1"/>
      <c r="Y158">
        <v>0</v>
      </c>
      <c r="Z158">
        <v>9</v>
      </c>
      <c r="AA158">
        <v>2025</v>
      </c>
      <c r="AB158" t="s">
        <v>458</v>
      </c>
      <c r="AC158" s="2" t="s">
        <v>46</v>
      </c>
    </row>
    <row r="159" spans="1:29" x14ac:dyDescent="0.25">
      <c r="A159" s="1">
        <v>45915</v>
      </c>
      <c r="B159" s="1"/>
      <c r="C159" s="2" t="s">
        <v>41</v>
      </c>
      <c r="D159" s="2" t="s">
        <v>28</v>
      </c>
      <c r="E159" s="3" t="s">
        <v>69</v>
      </c>
      <c r="F159" s="2" t="s">
        <v>147</v>
      </c>
      <c r="G159" s="2" t="s">
        <v>353</v>
      </c>
      <c r="H159" s="2" t="s">
        <v>37</v>
      </c>
      <c r="I159" s="2" t="s">
        <v>48</v>
      </c>
      <c r="J159" s="2" t="s">
        <v>29</v>
      </c>
      <c r="K159" s="2" t="s">
        <v>32</v>
      </c>
      <c r="L159" s="1">
        <v>45918</v>
      </c>
      <c r="M159" s="2" t="s">
        <v>29</v>
      </c>
      <c r="N159">
        <v>0</v>
      </c>
      <c r="O159" t="s">
        <v>447</v>
      </c>
      <c r="P159">
        <v>0</v>
      </c>
      <c r="Q159">
        <v>111</v>
      </c>
      <c r="R159">
        <v>0</v>
      </c>
      <c r="S159">
        <v>0</v>
      </c>
      <c r="T159">
        <v>0</v>
      </c>
      <c r="U159" s="2" t="s">
        <v>29</v>
      </c>
      <c r="V159" s="4"/>
      <c r="W159">
        <v>0</v>
      </c>
      <c r="X159" s="1"/>
      <c r="Y159">
        <v>0</v>
      </c>
      <c r="Z159">
        <v>9</v>
      </c>
      <c r="AA159">
        <v>2025</v>
      </c>
      <c r="AB159" t="s">
        <v>458</v>
      </c>
      <c r="AC159" s="2" t="s">
        <v>39</v>
      </c>
    </row>
    <row r="160" spans="1:29" x14ac:dyDescent="0.25">
      <c r="A160" s="1">
        <v>45917</v>
      </c>
      <c r="B160" s="1"/>
      <c r="C160" s="2" t="s">
        <v>41</v>
      </c>
      <c r="D160" s="2" t="s">
        <v>28</v>
      </c>
      <c r="E160" s="3" t="s">
        <v>130</v>
      </c>
      <c r="F160" s="2" t="s">
        <v>187</v>
      </c>
      <c r="G160" s="2" t="s">
        <v>354</v>
      </c>
      <c r="H160" s="2" t="s">
        <v>45</v>
      </c>
      <c r="I160" s="2" t="s">
        <v>47</v>
      </c>
      <c r="J160" s="2" t="s">
        <v>29</v>
      </c>
      <c r="K160" s="2" t="s">
        <v>38</v>
      </c>
      <c r="L160" s="1">
        <v>45920</v>
      </c>
      <c r="M160" s="2" t="s">
        <v>29</v>
      </c>
      <c r="N160">
        <v>84</v>
      </c>
      <c r="O160" t="s">
        <v>449</v>
      </c>
      <c r="P160">
        <v>222</v>
      </c>
      <c r="Q160">
        <v>281.51</v>
      </c>
      <c r="R160">
        <v>11072.71</v>
      </c>
      <c r="S160">
        <v>10900</v>
      </c>
      <c r="T160">
        <v>172.71</v>
      </c>
      <c r="U160" s="2" t="s">
        <v>29</v>
      </c>
      <c r="V160" s="4"/>
      <c r="W160">
        <v>0</v>
      </c>
      <c r="X160" s="1"/>
      <c r="Y160">
        <v>0</v>
      </c>
      <c r="Z160">
        <v>9</v>
      </c>
      <c r="AA160">
        <v>2025</v>
      </c>
      <c r="AB160" t="s">
        <v>458</v>
      </c>
      <c r="AC160" s="2" t="s">
        <v>46</v>
      </c>
    </row>
    <row r="161" spans="1:29" x14ac:dyDescent="0.25">
      <c r="A161" s="1">
        <v>45918</v>
      </c>
      <c r="B161" s="1"/>
      <c r="C161" s="2" t="s">
        <v>41</v>
      </c>
      <c r="D161" s="2" t="s">
        <v>28</v>
      </c>
      <c r="E161" s="3" t="s">
        <v>71</v>
      </c>
      <c r="F161" s="2" t="s">
        <v>149</v>
      </c>
      <c r="G161" s="2" t="s">
        <v>355</v>
      </c>
      <c r="H161" s="2" t="s">
        <v>37</v>
      </c>
      <c r="I161" s="2" t="s">
        <v>47</v>
      </c>
      <c r="J161" s="2" t="s">
        <v>29</v>
      </c>
      <c r="K161" s="2" t="s">
        <v>38</v>
      </c>
      <c r="L161" s="1">
        <v>45921</v>
      </c>
      <c r="M161" s="2" t="s">
        <v>29</v>
      </c>
      <c r="N161">
        <v>0</v>
      </c>
      <c r="O161" t="s">
        <v>447</v>
      </c>
      <c r="P161">
        <v>280.58999999999997</v>
      </c>
      <c r="Q161">
        <v>281.51</v>
      </c>
      <c r="R161">
        <v>10900</v>
      </c>
      <c r="S161">
        <v>0</v>
      </c>
      <c r="T161">
        <v>10900</v>
      </c>
      <c r="U161" s="2" t="s">
        <v>29</v>
      </c>
      <c r="V161" s="4"/>
      <c r="W161">
        <v>0</v>
      </c>
      <c r="X161" s="1"/>
      <c r="Y161">
        <v>0</v>
      </c>
      <c r="Z161">
        <v>9</v>
      </c>
      <c r="AA161">
        <v>2025</v>
      </c>
      <c r="AB161" t="s">
        <v>458</v>
      </c>
      <c r="AC161" s="2" t="s">
        <v>39</v>
      </c>
    </row>
    <row r="162" spans="1:29" x14ac:dyDescent="0.25">
      <c r="A162" s="1">
        <v>45920</v>
      </c>
      <c r="B162" s="1"/>
      <c r="C162" s="2" t="s">
        <v>41</v>
      </c>
      <c r="D162" s="2" t="s">
        <v>28</v>
      </c>
      <c r="E162" s="3" t="s">
        <v>72</v>
      </c>
      <c r="F162" s="2" t="s">
        <v>150</v>
      </c>
      <c r="G162" s="2" t="s">
        <v>356</v>
      </c>
      <c r="H162" s="2" t="s">
        <v>45</v>
      </c>
      <c r="I162" s="2" t="s">
        <v>47</v>
      </c>
      <c r="J162" s="2" t="s">
        <v>29</v>
      </c>
      <c r="K162" s="2" t="s">
        <v>38</v>
      </c>
      <c r="L162" s="1">
        <v>45923</v>
      </c>
      <c r="M162" s="2" t="s">
        <v>29</v>
      </c>
      <c r="N162">
        <v>84</v>
      </c>
      <c r="O162" t="s">
        <v>446</v>
      </c>
      <c r="P162">
        <v>50.01</v>
      </c>
      <c r="Q162">
        <v>59.94</v>
      </c>
      <c r="R162">
        <v>2494.35</v>
      </c>
      <c r="S162">
        <v>1859.36</v>
      </c>
      <c r="T162">
        <v>634.99</v>
      </c>
      <c r="U162" s="2" t="s">
        <v>29</v>
      </c>
      <c r="V162" s="4"/>
      <c r="W162">
        <v>0</v>
      </c>
      <c r="X162" s="1"/>
      <c r="Y162">
        <v>0</v>
      </c>
      <c r="Z162">
        <v>9</v>
      </c>
      <c r="AA162">
        <v>2025</v>
      </c>
      <c r="AB162" t="s">
        <v>458</v>
      </c>
      <c r="AC162" s="2" t="s">
        <v>46</v>
      </c>
    </row>
    <row r="163" spans="1:29" x14ac:dyDescent="0.25">
      <c r="A163" s="1">
        <v>45922</v>
      </c>
      <c r="B163" s="1"/>
      <c r="C163" s="2" t="s">
        <v>41</v>
      </c>
      <c r="D163" s="2" t="s">
        <v>28</v>
      </c>
      <c r="E163" s="3" t="s">
        <v>85</v>
      </c>
      <c r="F163" s="2" t="s">
        <v>163</v>
      </c>
      <c r="G163" s="2" t="s">
        <v>357</v>
      </c>
      <c r="H163" s="2" t="s">
        <v>37</v>
      </c>
      <c r="I163" s="2" t="s">
        <v>47</v>
      </c>
      <c r="J163" s="2" t="s">
        <v>29</v>
      </c>
      <c r="K163" s="2" t="s">
        <v>38</v>
      </c>
      <c r="L163" s="1">
        <v>45925</v>
      </c>
      <c r="M163" s="2" t="s">
        <v>29</v>
      </c>
      <c r="N163">
        <v>0</v>
      </c>
      <c r="O163" t="s">
        <v>447</v>
      </c>
      <c r="P163">
        <v>52.92</v>
      </c>
      <c r="Q163">
        <v>59.94</v>
      </c>
      <c r="R163">
        <v>1859.36</v>
      </c>
      <c r="S163">
        <v>0</v>
      </c>
      <c r="T163">
        <v>1859.36</v>
      </c>
      <c r="U163" s="2" t="s">
        <v>29</v>
      </c>
      <c r="V163" s="4"/>
      <c r="W163">
        <v>0</v>
      </c>
      <c r="X163" s="1"/>
      <c r="Y163">
        <v>0</v>
      </c>
      <c r="Z163">
        <v>9</v>
      </c>
      <c r="AA163">
        <v>2025</v>
      </c>
      <c r="AB163" t="s">
        <v>458</v>
      </c>
      <c r="AC163" s="2" t="s">
        <v>39</v>
      </c>
    </row>
    <row r="164" spans="1:29" x14ac:dyDescent="0.25">
      <c r="A164" s="1">
        <v>45923</v>
      </c>
      <c r="B164" s="1"/>
      <c r="C164" s="2" t="s">
        <v>41</v>
      </c>
      <c r="D164" s="2" t="s">
        <v>28</v>
      </c>
      <c r="E164" s="3" t="s">
        <v>132</v>
      </c>
      <c r="F164" s="2" t="s">
        <v>186</v>
      </c>
      <c r="G164" s="2" t="s">
        <v>358</v>
      </c>
      <c r="H164" s="2" t="s">
        <v>45</v>
      </c>
      <c r="I164" s="2" t="s">
        <v>47</v>
      </c>
      <c r="J164" s="2" t="s">
        <v>29</v>
      </c>
      <c r="K164" s="2" t="s">
        <v>38</v>
      </c>
      <c r="L164" s="1">
        <v>45926</v>
      </c>
      <c r="M164" s="2" t="s">
        <v>29</v>
      </c>
      <c r="N164">
        <v>84</v>
      </c>
      <c r="O164" t="s">
        <v>449</v>
      </c>
      <c r="P164">
        <v>43</v>
      </c>
      <c r="Q164">
        <v>74.599999999999994</v>
      </c>
      <c r="R164">
        <v>2148.0700000000002</v>
      </c>
      <c r="S164">
        <v>1993.24</v>
      </c>
      <c r="T164">
        <v>154.83000000000001</v>
      </c>
      <c r="U164" s="2" t="s">
        <v>29</v>
      </c>
      <c r="V164" s="4"/>
      <c r="W164">
        <v>0</v>
      </c>
      <c r="X164" s="1"/>
      <c r="Y164">
        <v>0</v>
      </c>
      <c r="Z164">
        <v>9</v>
      </c>
      <c r="AA164">
        <v>2025</v>
      </c>
      <c r="AB164" t="s">
        <v>458</v>
      </c>
      <c r="AC164" s="2" t="s">
        <v>46</v>
      </c>
    </row>
    <row r="165" spans="1:29" x14ac:dyDescent="0.25">
      <c r="A165" s="1">
        <v>45925</v>
      </c>
      <c r="B165" s="1"/>
      <c r="C165" s="2" t="s">
        <v>41</v>
      </c>
      <c r="D165" s="2" t="s">
        <v>28</v>
      </c>
      <c r="E165" s="3" t="s">
        <v>89</v>
      </c>
      <c r="F165" s="2" t="s">
        <v>167</v>
      </c>
      <c r="G165" s="2" t="s">
        <v>359</v>
      </c>
      <c r="H165" s="2" t="s">
        <v>37</v>
      </c>
      <c r="I165" s="2" t="s">
        <v>47</v>
      </c>
      <c r="J165" s="2" t="s">
        <v>29</v>
      </c>
      <c r="K165" s="2" t="s">
        <v>38</v>
      </c>
      <c r="L165" s="1">
        <v>45928</v>
      </c>
      <c r="M165" s="2" t="s">
        <v>29</v>
      </c>
      <c r="N165">
        <v>0</v>
      </c>
      <c r="O165" t="s">
        <v>447</v>
      </c>
      <c r="P165">
        <v>73.33</v>
      </c>
      <c r="Q165">
        <v>74.599999999999994</v>
      </c>
      <c r="R165">
        <v>1993.24</v>
      </c>
      <c r="S165">
        <v>0</v>
      </c>
      <c r="T165">
        <v>1993.24</v>
      </c>
      <c r="U165" s="2" t="s">
        <v>29</v>
      </c>
      <c r="V165" s="4"/>
      <c r="W165">
        <v>0</v>
      </c>
      <c r="X165" s="1"/>
      <c r="Y165">
        <v>0</v>
      </c>
      <c r="Z165">
        <v>9</v>
      </c>
      <c r="AA165">
        <v>2025</v>
      </c>
      <c r="AB165" t="s">
        <v>458</v>
      </c>
      <c r="AC165" s="2" t="s">
        <v>39</v>
      </c>
    </row>
    <row r="166" spans="1:29" x14ac:dyDescent="0.25">
      <c r="A166" s="1">
        <v>45926</v>
      </c>
      <c r="B166" s="1">
        <v>45933</v>
      </c>
      <c r="C166" s="2" t="s">
        <v>41</v>
      </c>
      <c r="D166" s="2" t="s">
        <v>28</v>
      </c>
      <c r="E166" s="3" t="s">
        <v>76</v>
      </c>
      <c r="F166" s="2" t="s">
        <v>154</v>
      </c>
      <c r="G166" s="2" t="s">
        <v>360</v>
      </c>
      <c r="H166" s="2" t="s">
        <v>45</v>
      </c>
      <c r="I166" s="2" t="s">
        <v>48</v>
      </c>
      <c r="J166" s="2" t="s">
        <v>29</v>
      </c>
      <c r="K166" s="2" t="s">
        <v>55</v>
      </c>
      <c r="L166" s="1">
        <v>45929</v>
      </c>
      <c r="M166" s="2" t="s">
        <v>29</v>
      </c>
      <c r="N166">
        <v>84</v>
      </c>
      <c r="O166" t="s">
        <v>449</v>
      </c>
      <c r="P166">
        <v>205</v>
      </c>
      <c r="Q166">
        <v>286.20999999999998</v>
      </c>
      <c r="R166">
        <v>10791.66</v>
      </c>
      <c r="S166">
        <v>10541.66</v>
      </c>
      <c r="T166">
        <v>250</v>
      </c>
      <c r="U166" s="2" t="s">
        <v>29</v>
      </c>
      <c r="V166" s="4"/>
      <c r="W166">
        <v>0</v>
      </c>
      <c r="X166" s="1"/>
      <c r="Y166">
        <v>0</v>
      </c>
      <c r="Z166">
        <v>9</v>
      </c>
      <c r="AA166">
        <v>2025</v>
      </c>
      <c r="AB166" t="s">
        <v>458</v>
      </c>
      <c r="AC166" s="2" t="s">
        <v>46</v>
      </c>
    </row>
    <row r="167" spans="1:29" x14ac:dyDescent="0.25">
      <c r="A167" s="1">
        <v>45928</v>
      </c>
      <c r="B167" s="1">
        <v>45935</v>
      </c>
      <c r="C167" s="2" t="s">
        <v>41</v>
      </c>
      <c r="D167" s="2" t="s">
        <v>28</v>
      </c>
      <c r="E167" s="3" t="s">
        <v>77</v>
      </c>
      <c r="F167" s="2" t="s">
        <v>155</v>
      </c>
      <c r="G167" s="2" t="s">
        <v>361</v>
      </c>
      <c r="H167" s="2" t="s">
        <v>37</v>
      </c>
      <c r="I167" s="2" t="s">
        <v>48</v>
      </c>
      <c r="J167" s="2" t="s">
        <v>29</v>
      </c>
      <c r="K167" s="2" t="s">
        <v>56</v>
      </c>
      <c r="L167" s="1">
        <v>45931</v>
      </c>
      <c r="M167" s="2" t="s">
        <v>29</v>
      </c>
      <c r="N167">
        <v>0</v>
      </c>
      <c r="O167" t="s">
        <v>447</v>
      </c>
      <c r="P167">
        <v>257.49</v>
      </c>
      <c r="Q167">
        <v>286.20999999999998</v>
      </c>
      <c r="R167">
        <v>10541.66</v>
      </c>
      <c r="S167">
        <v>0</v>
      </c>
      <c r="T167">
        <v>10541.66</v>
      </c>
      <c r="U167" s="2" t="s">
        <v>29</v>
      </c>
      <c r="V167" s="4"/>
      <c r="W167">
        <v>0</v>
      </c>
      <c r="X167" s="1"/>
      <c r="Y167">
        <v>0</v>
      </c>
      <c r="Z167">
        <v>9</v>
      </c>
      <c r="AA167">
        <v>2025</v>
      </c>
      <c r="AB167" t="s">
        <v>458</v>
      </c>
      <c r="AC167" s="2" t="s">
        <v>39</v>
      </c>
    </row>
    <row r="168" spans="1:29" x14ac:dyDescent="0.25">
      <c r="A168" s="1">
        <v>45930</v>
      </c>
      <c r="B168" s="1">
        <v>45937</v>
      </c>
      <c r="C168" s="2" t="s">
        <v>41</v>
      </c>
      <c r="D168" s="2" t="s">
        <v>28</v>
      </c>
      <c r="E168" s="3" t="s">
        <v>78</v>
      </c>
      <c r="F168" s="2" t="s">
        <v>156</v>
      </c>
      <c r="G168" s="2" t="s">
        <v>362</v>
      </c>
      <c r="H168" s="2" t="s">
        <v>45</v>
      </c>
      <c r="I168" s="2" t="s">
        <v>48</v>
      </c>
      <c r="J168" s="2" t="s">
        <v>29</v>
      </c>
      <c r="K168" s="2" t="s">
        <v>55</v>
      </c>
      <c r="L168" s="1">
        <v>45933</v>
      </c>
      <c r="M168" s="2" t="s">
        <v>29</v>
      </c>
      <c r="N168">
        <v>84</v>
      </c>
      <c r="O168" t="s">
        <v>446</v>
      </c>
      <c r="P168">
        <v>42.5</v>
      </c>
      <c r="Q168">
        <v>56.2</v>
      </c>
      <c r="R168">
        <v>2210.34</v>
      </c>
      <c r="S168">
        <v>1960.34</v>
      </c>
      <c r="T168">
        <v>250</v>
      </c>
      <c r="U168" s="2" t="s">
        <v>29</v>
      </c>
      <c r="V168" s="4"/>
      <c r="W168">
        <v>0</v>
      </c>
      <c r="X168" s="1"/>
      <c r="Y168">
        <v>0</v>
      </c>
      <c r="Z168">
        <v>9</v>
      </c>
      <c r="AA168">
        <v>2025</v>
      </c>
      <c r="AB168" t="s">
        <v>458</v>
      </c>
      <c r="AC168" s="2" t="s">
        <v>46</v>
      </c>
    </row>
    <row r="169" spans="1:29" x14ac:dyDescent="0.25">
      <c r="A169" s="1">
        <v>45931</v>
      </c>
      <c r="B169" s="1">
        <v>45938</v>
      </c>
      <c r="C169" s="2" t="s">
        <v>41</v>
      </c>
      <c r="D169" s="2" t="s">
        <v>28</v>
      </c>
      <c r="E169" s="3" t="s">
        <v>132</v>
      </c>
      <c r="F169" s="2" t="s">
        <v>186</v>
      </c>
      <c r="G169" s="2" t="s">
        <v>363</v>
      </c>
      <c r="H169" s="2" t="s">
        <v>37</v>
      </c>
      <c r="I169" s="2" t="s">
        <v>48</v>
      </c>
      <c r="J169" s="2" t="s">
        <v>29</v>
      </c>
      <c r="K169" s="2" t="s">
        <v>56</v>
      </c>
      <c r="L169" s="1">
        <v>45934</v>
      </c>
      <c r="M169" s="2" t="s">
        <v>29</v>
      </c>
      <c r="N169">
        <v>57</v>
      </c>
      <c r="O169" t="s">
        <v>448</v>
      </c>
      <c r="P169">
        <v>47.88</v>
      </c>
      <c r="Q169">
        <v>56.2</v>
      </c>
      <c r="R169">
        <v>1960.34</v>
      </c>
      <c r="S169">
        <v>0</v>
      </c>
      <c r="T169">
        <v>1960.34</v>
      </c>
      <c r="U169" s="2" t="s">
        <v>29</v>
      </c>
      <c r="V169" s="4"/>
      <c r="W169">
        <v>0</v>
      </c>
      <c r="X169" s="1"/>
      <c r="Y169">
        <v>0</v>
      </c>
      <c r="Z169">
        <v>10</v>
      </c>
      <c r="AA169">
        <v>2025</v>
      </c>
      <c r="AB169" t="s">
        <v>459</v>
      </c>
      <c r="AC169" s="2" t="s">
        <v>39</v>
      </c>
    </row>
    <row r="170" spans="1:29" x14ac:dyDescent="0.25">
      <c r="A170" s="1">
        <v>45933</v>
      </c>
      <c r="B170" s="1"/>
      <c r="C170" s="2" t="s">
        <v>40</v>
      </c>
      <c r="D170" s="2" t="s">
        <v>28</v>
      </c>
      <c r="E170" s="3" t="s">
        <v>80</v>
      </c>
      <c r="F170" s="2" t="s">
        <v>158</v>
      </c>
      <c r="G170" s="2" t="s">
        <v>364</v>
      </c>
      <c r="H170" s="2" t="s">
        <v>58</v>
      </c>
      <c r="I170" s="2" t="s">
        <v>61</v>
      </c>
      <c r="J170" s="2" t="s">
        <v>29</v>
      </c>
      <c r="K170" s="2" t="s">
        <v>38</v>
      </c>
      <c r="L170" s="1"/>
      <c r="M170" s="2" t="s">
        <v>29</v>
      </c>
      <c r="N170">
        <v>84</v>
      </c>
      <c r="O170" t="s">
        <v>446</v>
      </c>
      <c r="P170">
        <v>0</v>
      </c>
      <c r="Q170">
        <v>70</v>
      </c>
      <c r="R170">
        <v>2868.09</v>
      </c>
      <c r="S170">
        <v>0</v>
      </c>
      <c r="T170">
        <v>2868.09</v>
      </c>
      <c r="U170" s="2" t="s">
        <v>29</v>
      </c>
      <c r="V170" s="4"/>
      <c r="W170">
        <v>0</v>
      </c>
      <c r="X170" s="1"/>
      <c r="Y170">
        <v>0</v>
      </c>
      <c r="Z170">
        <v>10</v>
      </c>
      <c r="AA170">
        <v>2025</v>
      </c>
      <c r="AB170" t="s">
        <v>459</v>
      </c>
      <c r="AC170" s="2" t="s">
        <v>58</v>
      </c>
    </row>
    <row r="171" spans="1:29" x14ac:dyDescent="0.25">
      <c r="A171" s="1">
        <v>45935</v>
      </c>
      <c r="B171" s="1"/>
      <c r="C171" s="2" t="s">
        <v>41</v>
      </c>
      <c r="D171" s="2" t="s">
        <v>28</v>
      </c>
      <c r="E171" s="3" t="s">
        <v>79</v>
      </c>
      <c r="F171" s="2" t="s">
        <v>157</v>
      </c>
      <c r="G171" s="2" t="s">
        <v>365</v>
      </c>
      <c r="H171" s="2" t="s">
        <v>50</v>
      </c>
      <c r="I171" s="2" t="s">
        <v>51</v>
      </c>
      <c r="J171" s="2" t="s">
        <v>29</v>
      </c>
      <c r="K171" s="2" t="s">
        <v>32</v>
      </c>
      <c r="L171" s="1">
        <v>45938</v>
      </c>
      <c r="M171" s="2" t="s">
        <v>29</v>
      </c>
      <c r="N171">
        <v>0</v>
      </c>
      <c r="O171" t="s">
        <v>447</v>
      </c>
      <c r="P171">
        <v>0</v>
      </c>
      <c r="Q171">
        <v>0</v>
      </c>
      <c r="R171">
        <v>243.93</v>
      </c>
      <c r="S171">
        <v>0</v>
      </c>
      <c r="T171">
        <v>243.93</v>
      </c>
      <c r="U171" s="2" t="s">
        <v>29</v>
      </c>
      <c r="V171" s="4"/>
      <c r="W171">
        <v>0</v>
      </c>
      <c r="X171" s="1"/>
      <c r="Y171">
        <v>0</v>
      </c>
      <c r="Z171">
        <v>10</v>
      </c>
      <c r="AA171">
        <v>2025</v>
      </c>
      <c r="AB171" t="s">
        <v>459</v>
      </c>
      <c r="AC171" s="2" t="s">
        <v>50</v>
      </c>
    </row>
    <row r="172" spans="1:29" x14ac:dyDescent="0.25">
      <c r="A172" s="1">
        <v>45936</v>
      </c>
      <c r="B172" s="1"/>
      <c r="C172" s="2" t="s">
        <v>27</v>
      </c>
      <c r="D172" s="2" t="s">
        <v>28</v>
      </c>
      <c r="E172" s="3" t="s">
        <v>125</v>
      </c>
      <c r="F172" s="2" t="s">
        <v>185</v>
      </c>
      <c r="G172" s="2" t="s">
        <v>366</v>
      </c>
      <c r="H172" s="2" t="s">
        <v>37</v>
      </c>
      <c r="I172" s="2" t="s">
        <v>31</v>
      </c>
      <c r="J172" s="2" t="s">
        <v>29</v>
      </c>
      <c r="K172" s="2" t="s">
        <v>38</v>
      </c>
      <c r="L172" s="1">
        <v>45939</v>
      </c>
      <c r="M172" s="2" t="s">
        <v>29</v>
      </c>
      <c r="N172">
        <v>33</v>
      </c>
      <c r="O172" t="s">
        <v>448</v>
      </c>
      <c r="P172">
        <v>323.56</v>
      </c>
      <c r="Q172">
        <v>351.32</v>
      </c>
      <c r="R172">
        <v>8807</v>
      </c>
      <c r="S172">
        <v>0</v>
      </c>
      <c r="T172">
        <v>8807</v>
      </c>
      <c r="U172" s="2" t="s">
        <v>29</v>
      </c>
      <c r="V172" s="4"/>
      <c r="W172">
        <v>0</v>
      </c>
      <c r="X172" s="1"/>
      <c r="Y172">
        <v>0</v>
      </c>
      <c r="Z172">
        <v>10</v>
      </c>
      <c r="AA172">
        <v>2025</v>
      </c>
      <c r="AB172" t="s">
        <v>459</v>
      </c>
      <c r="AC172" s="2" t="s">
        <v>39</v>
      </c>
    </row>
    <row r="173" spans="1:29" x14ac:dyDescent="0.25">
      <c r="A173" s="1">
        <v>45938</v>
      </c>
      <c r="B173" s="1"/>
      <c r="C173" s="2" t="s">
        <v>41</v>
      </c>
      <c r="D173" s="2" t="s">
        <v>28</v>
      </c>
      <c r="E173" s="3" t="s">
        <v>81</v>
      </c>
      <c r="F173" s="2" t="s">
        <v>159</v>
      </c>
      <c r="G173" s="2" t="s">
        <v>367</v>
      </c>
      <c r="H173" s="2" t="s">
        <v>50</v>
      </c>
      <c r="I173" s="2" t="s">
        <v>51</v>
      </c>
      <c r="J173" s="2" t="s">
        <v>29</v>
      </c>
      <c r="K173" s="2" t="s">
        <v>23</v>
      </c>
      <c r="L173" s="1">
        <v>45941</v>
      </c>
      <c r="M173" s="2" t="s">
        <v>29</v>
      </c>
      <c r="N173">
        <v>0</v>
      </c>
      <c r="O173" t="s">
        <v>447</v>
      </c>
      <c r="P173">
        <v>0</v>
      </c>
      <c r="Q173">
        <v>0</v>
      </c>
      <c r="R173">
        <v>231.84</v>
      </c>
      <c r="S173">
        <v>0</v>
      </c>
      <c r="T173">
        <v>231.84</v>
      </c>
      <c r="U173" s="2" t="s">
        <v>29</v>
      </c>
      <c r="V173" s="4"/>
      <c r="W173">
        <v>0</v>
      </c>
      <c r="X173" s="1">
        <v>45948</v>
      </c>
      <c r="Y173">
        <v>1</v>
      </c>
      <c r="Z173">
        <v>10</v>
      </c>
      <c r="AA173">
        <v>2025</v>
      </c>
      <c r="AB173" t="s">
        <v>459</v>
      </c>
      <c r="AC173" s="2" t="s">
        <v>50</v>
      </c>
    </row>
    <row r="174" spans="1:29" x14ac:dyDescent="0.25">
      <c r="A174" s="1">
        <v>45940</v>
      </c>
      <c r="B174" s="1"/>
      <c r="C174" s="2" t="s">
        <v>41</v>
      </c>
      <c r="D174" s="2" t="s">
        <v>28</v>
      </c>
      <c r="E174" s="3" t="s">
        <v>131</v>
      </c>
      <c r="F174" s="2" t="s">
        <v>188</v>
      </c>
      <c r="G174" s="2" t="s">
        <v>368</v>
      </c>
      <c r="H174" s="2" t="s">
        <v>50</v>
      </c>
      <c r="I174" s="2" t="s">
        <v>51</v>
      </c>
      <c r="J174" s="2" t="s">
        <v>29</v>
      </c>
      <c r="K174" s="2" t="s">
        <v>23</v>
      </c>
      <c r="L174" s="1">
        <v>45943</v>
      </c>
      <c r="M174" s="2" t="s">
        <v>29</v>
      </c>
      <c r="N174">
        <v>0</v>
      </c>
      <c r="O174" t="s">
        <v>447</v>
      </c>
      <c r="P174">
        <v>0</v>
      </c>
      <c r="Q174">
        <v>0</v>
      </c>
      <c r="R174">
        <v>174.16</v>
      </c>
      <c r="S174">
        <v>0</v>
      </c>
      <c r="T174">
        <v>174.16</v>
      </c>
      <c r="U174" s="2" t="s">
        <v>29</v>
      </c>
      <c r="V174" s="4"/>
      <c r="W174">
        <v>0</v>
      </c>
      <c r="X174" s="1">
        <v>45950</v>
      </c>
      <c r="Y174">
        <v>1</v>
      </c>
      <c r="Z174">
        <v>10</v>
      </c>
      <c r="AA174">
        <v>2025</v>
      </c>
      <c r="AB174" t="s">
        <v>459</v>
      </c>
      <c r="AC174" s="2" t="s">
        <v>50</v>
      </c>
    </row>
    <row r="175" spans="1:29" x14ac:dyDescent="0.25">
      <c r="A175" s="1">
        <v>45941</v>
      </c>
      <c r="B175" s="1">
        <v>45948</v>
      </c>
      <c r="C175" s="2" t="s">
        <v>42</v>
      </c>
      <c r="D175" s="2" t="s">
        <v>28</v>
      </c>
      <c r="E175" s="3" t="s">
        <v>125</v>
      </c>
      <c r="F175" s="2" t="s">
        <v>185</v>
      </c>
      <c r="G175" s="2" t="s">
        <v>369</v>
      </c>
      <c r="H175" s="2" t="s">
        <v>45</v>
      </c>
      <c r="I175" s="2" t="s">
        <v>31</v>
      </c>
      <c r="J175" s="2" t="s">
        <v>29</v>
      </c>
      <c r="K175" s="2" t="s">
        <v>55</v>
      </c>
      <c r="L175" s="1">
        <v>45944</v>
      </c>
      <c r="M175" s="2" t="s">
        <v>29</v>
      </c>
      <c r="N175">
        <v>84</v>
      </c>
      <c r="O175" t="s">
        <v>446</v>
      </c>
      <c r="P175">
        <v>235.84</v>
      </c>
      <c r="Q175">
        <v>368.73</v>
      </c>
      <c r="R175">
        <v>0</v>
      </c>
      <c r="S175">
        <v>12648.19</v>
      </c>
      <c r="T175">
        <v>-12648.19</v>
      </c>
      <c r="U175" s="2" t="s">
        <v>29</v>
      </c>
      <c r="V175" s="4"/>
      <c r="W175">
        <v>0</v>
      </c>
      <c r="X175" s="1"/>
      <c r="Y175">
        <v>0</v>
      </c>
      <c r="Z175">
        <v>10</v>
      </c>
      <c r="AA175">
        <v>2025</v>
      </c>
      <c r="AB175" t="s">
        <v>459</v>
      </c>
      <c r="AC175" s="2" t="s">
        <v>46</v>
      </c>
    </row>
    <row r="176" spans="1:29" x14ac:dyDescent="0.25">
      <c r="A176" s="1">
        <v>45943</v>
      </c>
      <c r="B176" s="1">
        <v>45950</v>
      </c>
      <c r="C176" s="2" t="s">
        <v>42</v>
      </c>
      <c r="D176" s="2" t="s">
        <v>28</v>
      </c>
      <c r="E176" s="3" t="s">
        <v>83</v>
      </c>
      <c r="F176" s="2" t="s">
        <v>161</v>
      </c>
      <c r="G176" s="2" t="s">
        <v>370</v>
      </c>
      <c r="H176" s="2" t="s">
        <v>37</v>
      </c>
      <c r="I176" s="2" t="s">
        <v>31</v>
      </c>
      <c r="J176" s="2" t="s">
        <v>29</v>
      </c>
      <c r="K176" s="2" t="s">
        <v>56</v>
      </c>
      <c r="L176" s="1">
        <v>45946</v>
      </c>
      <c r="M176" s="2" t="s">
        <v>29</v>
      </c>
      <c r="N176">
        <v>58</v>
      </c>
      <c r="O176" t="s">
        <v>448</v>
      </c>
      <c r="P176">
        <v>299.27999999999997</v>
      </c>
      <c r="Q176">
        <v>368.73</v>
      </c>
      <c r="R176">
        <v>12648.19</v>
      </c>
      <c r="S176">
        <v>0</v>
      </c>
      <c r="T176">
        <v>12648.19</v>
      </c>
      <c r="U176" s="2" t="s">
        <v>29</v>
      </c>
      <c r="V176" s="4"/>
      <c r="W176">
        <v>0</v>
      </c>
      <c r="X176" s="1"/>
      <c r="Y176">
        <v>0</v>
      </c>
      <c r="Z176">
        <v>10</v>
      </c>
      <c r="AA176">
        <v>2025</v>
      </c>
      <c r="AB176" t="s">
        <v>459</v>
      </c>
      <c r="AC176" s="2" t="s">
        <v>39</v>
      </c>
    </row>
    <row r="177" spans="1:29" x14ac:dyDescent="0.25">
      <c r="A177" s="1">
        <v>45945</v>
      </c>
      <c r="B177" s="1"/>
      <c r="C177" s="2" t="s">
        <v>44</v>
      </c>
      <c r="D177" s="2" t="s">
        <v>28</v>
      </c>
      <c r="E177" s="3" t="s">
        <v>84</v>
      </c>
      <c r="F177" s="2" t="s">
        <v>162</v>
      </c>
      <c r="G177" s="2" t="s">
        <v>371</v>
      </c>
      <c r="H177" s="2" t="s">
        <v>37</v>
      </c>
      <c r="I177" s="2" t="s">
        <v>48</v>
      </c>
      <c r="J177" s="2" t="s">
        <v>29</v>
      </c>
      <c r="K177" s="2" t="s">
        <v>49</v>
      </c>
      <c r="L177" s="1">
        <v>45948</v>
      </c>
      <c r="M177" s="2" t="s">
        <v>29</v>
      </c>
      <c r="N177">
        <v>56</v>
      </c>
      <c r="O177" t="s">
        <v>448</v>
      </c>
      <c r="P177">
        <v>0</v>
      </c>
      <c r="Q177">
        <v>494.7</v>
      </c>
      <c r="R177">
        <v>0</v>
      </c>
      <c r="S177">
        <v>0</v>
      </c>
      <c r="T177">
        <v>0</v>
      </c>
      <c r="U177" s="2" t="s">
        <v>29</v>
      </c>
      <c r="V177" s="4"/>
      <c r="W177">
        <v>0</v>
      </c>
      <c r="X177" s="1"/>
      <c r="Y177">
        <v>0</v>
      </c>
      <c r="Z177">
        <v>10</v>
      </c>
      <c r="AA177">
        <v>2025</v>
      </c>
      <c r="AB177" t="s">
        <v>459</v>
      </c>
      <c r="AC177" s="2" t="s">
        <v>39</v>
      </c>
    </row>
    <row r="178" spans="1:29" x14ac:dyDescent="0.25">
      <c r="A178" s="1">
        <v>45946</v>
      </c>
      <c r="B178" s="1"/>
      <c r="C178" s="2" t="s">
        <v>41</v>
      </c>
      <c r="D178" s="2" t="s">
        <v>28</v>
      </c>
      <c r="E178" s="3" t="s">
        <v>125</v>
      </c>
      <c r="F178" s="2" t="s">
        <v>185</v>
      </c>
      <c r="G178" s="2" t="s">
        <v>372</v>
      </c>
      <c r="H178" s="2" t="s">
        <v>34</v>
      </c>
      <c r="I178" s="2" t="s">
        <v>48</v>
      </c>
      <c r="J178" s="2" t="s">
        <v>29</v>
      </c>
      <c r="K178" s="2" t="s">
        <v>55</v>
      </c>
      <c r="L178" s="1">
        <v>45949</v>
      </c>
      <c r="M178" s="2" t="s">
        <v>29</v>
      </c>
      <c r="N178">
        <v>84</v>
      </c>
      <c r="O178" t="s">
        <v>446</v>
      </c>
      <c r="P178">
        <v>341</v>
      </c>
      <c r="Q178">
        <v>430.48</v>
      </c>
      <c r="R178">
        <v>16440.400000000001</v>
      </c>
      <c r="S178">
        <v>16154.86</v>
      </c>
      <c r="T178">
        <v>285.54000000000002</v>
      </c>
      <c r="U178" s="2" t="s">
        <v>29</v>
      </c>
      <c r="V178" s="4"/>
      <c r="W178">
        <v>0</v>
      </c>
      <c r="X178" s="1"/>
      <c r="Y178">
        <v>0</v>
      </c>
      <c r="Z178">
        <v>10</v>
      </c>
      <c r="AA178">
        <v>2025</v>
      </c>
      <c r="AB178" t="s">
        <v>459</v>
      </c>
      <c r="AC178" s="2" t="s">
        <v>35</v>
      </c>
    </row>
    <row r="179" spans="1:29" x14ac:dyDescent="0.25">
      <c r="A179" s="1">
        <v>45948</v>
      </c>
      <c r="B179" s="1">
        <v>45955</v>
      </c>
      <c r="C179" s="2" t="s">
        <v>41</v>
      </c>
      <c r="D179" s="2" t="s">
        <v>28</v>
      </c>
      <c r="E179" s="3" t="s">
        <v>92</v>
      </c>
      <c r="F179" s="2" t="s">
        <v>170</v>
      </c>
      <c r="G179" s="2" t="s">
        <v>373</v>
      </c>
      <c r="H179" s="2" t="s">
        <v>45</v>
      </c>
      <c r="I179" s="2" t="s">
        <v>47</v>
      </c>
      <c r="J179" s="2" t="s">
        <v>29</v>
      </c>
      <c r="K179" s="2" t="s">
        <v>55</v>
      </c>
      <c r="L179" s="1">
        <v>45951</v>
      </c>
      <c r="M179" s="2" t="s">
        <v>29</v>
      </c>
      <c r="N179">
        <v>84</v>
      </c>
      <c r="O179" t="s">
        <v>446</v>
      </c>
      <c r="P179">
        <v>261</v>
      </c>
      <c r="Q179">
        <v>380.77</v>
      </c>
      <c r="R179">
        <v>13135.12</v>
      </c>
      <c r="S179">
        <v>12974.59</v>
      </c>
      <c r="T179">
        <v>160.53</v>
      </c>
      <c r="U179" s="2" t="s">
        <v>29</v>
      </c>
      <c r="V179" s="4"/>
      <c r="W179">
        <v>0</v>
      </c>
      <c r="X179" s="1"/>
      <c r="Y179">
        <v>0</v>
      </c>
      <c r="Z179">
        <v>10</v>
      </c>
      <c r="AA179">
        <v>2025</v>
      </c>
      <c r="AB179" t="s">
        <v>459</v>
      </c>
      <c r="AC179" s="2" t="s">
        <v>46</v>
      </c>
    </row>
    <row r="180" spans="1:29" x14ac:dyDescent="0.25">
      <c r="A180" s="1">
        <v>45950</v>
      </c>
      <c r="B180" s="1">
        <v>45957</v>
      </c>
      <c r="C180" s="2" t="s">
        <v>41</v>
      </c>
      <c r="D180" s="2" t="s">
        <v>28</v>
      </c>
      <c r="E180" s="3" t="s">
        <v>85</v>
      </c>
      <c r="F180" s="2" t="s">
        <v>163</v>
      </c>
      <c r="G180" s="2" t="s">
        <v>374</v>
      </c>
      <c r="H180" s="2" t="s">
        <v>37</v>
      </c>
      <c r="I180" s="2" t="s">
        <v>47</v>
      </c>
      <c r="J180" s="2" t="s">
        <v>29</v>
      </c>
      <c r="K180" s="2" t="s">
        <v>56</v>
      </c>
      <c r="L180" s="1">
        <v>45953</v>
      </c>
      <c r="M180" s="2" t="s">
        <v>29</v>
      </c>
      <c r="N180">
        <v>57</v>
      </c>
      <c r="O180" t="s">
        <v>448</v>
      </c>
      <c r="P180">
        <v>328.5</v>
      </c>
      <c r="Q180">
        <v>380.77</v>
      </c>
      <c r="R180">
        <v>12974.59</v>
      </c>
      <c r="S180">
        <v>0</v>
      </c>
      <c r="T180">
        <v>12974.59</v>
      </c>
      <c r="U180" s="2" t="s">
        <v>29</v>
      </c>
      <c r="V180" s="4"/>
      <c r="W180">
        <v>0</v>
      </c>
      <c r="X180" s="1"/>
      <c r="Y180">
        <v>0</v>
      </c>
      <c r="Z180">
        <v>10</v>
      </c>
      <c r="AA180">
        <v>2025</v>
      </c>
      <c r="AB180" t="s">
        <v>459</v>
      </c>
      <c r="AC180" s="2" t="s">
        <v>39</v>
      </c>
    </row>
    <row r="181" spans="1:29" x14ac:dyDescent="0.25">
      <c r="A181" s="1">
        <v>45951</v>
      </c>
      <c r="B181" s="1"/>
      <c r="C181" s="2" t="s">
        <v>44</v>
      </c>
      <c r="D181" s="2" t="s">
        <v>28</v>
      </c>
      <c r="E181" s="3" t="s">
        <v>86</v>
      </c>
      <c r="F181" s="2" t="s">
        <v>164</v>
      </c>
      <c r="G181" s="2" t="s">
        <v>375</v>
      </c>
      <c r="H181" s="2" t="s">
        <v>45</v>
      </c>
      <c r="I181" s="2" t="s">
        <v>31</v>
      </c>
      <c r="J181" s="2" t="s">
        <v>29</v>
      </c>
      <c r="K181" s="2" t="s">
        <v>52</v>
      </c>
      <c r="L181" s="1">
        <v>45954</v>
      </c>
      <c r="M181" s="2" t="s">
        <v>29</v>
      </c>
      <c r="N181">
        <v>84</v>
      </c>
      <c r="O181" t="s">
        <v>446</v>
      </c>
      <c r="P181">
        <v>242.46</v>
      </c>
      <c r="Q181">
        <v>401.03</v>
      </c>
      <c r="R181">
        <v>0</v>
      </c>
      <c r="S181">
        <v>12537.43</v>
      </c>
      <c r="T181">
        <v>-12537.43</v>
      </c>
      <c r="U181" s="2" t="s">
        <v>29</v>
      </c>
      <c r="V181" s="4"/>
      <c r="W181">
        <v>0</v>
      </c>
      <c r="X181" s="1"/>
      <c r="Y181">
        <v>0</v>
      </c>
      <c r="Z181">
        <v>10</v>
      </c>
      <c r="AA181">
        <v>2025</v>
      </c>
      <c r="AB181" t="s">
        <v>459</v>
      </c>
      <c r="AC181" s="2" t="s">
        <v>46</v>
      </c>
    </row>
    <row r="182" spans="1:29" x14ac:dyDescent="0.25">
      <c r="A182" s="1">
        <v>45953</v>
      </c>
      <c r="B182" s="1"/>
      <c r="C182" s="2" t="s">
        <v>44</v>
      </c>
      <c r="D182" s="2" t="s">
        <v>28</v>
      </c>
      <c r="E182" s="3" t="s">
        <v>87</v>
      </c>
      <c r="F182" s="2" t="s">
        <v>165</v>
      </c>
      <c r="G182" s="2" t="s">
        <v>376</v>
      </c>
      <c r="H182" s="2" t="s">
        <v>37</v>
      </c>
      <c r="I182" s="2" t="s">
        <v>31</v>
      </c>
      <c r="J182" s="2" t="s">
        <v>29</v>
      </c>
      <c r="K182" s="2" t="s">
        <v>52</v>
      </c>
      <c r="L182" s="1">
        <v>45956</v>
      </c>
      <c r="M182" s="2" t="s">
        <v>29</v>
      </c>
      <c r="N182">
        <v>44</v>
      </c>
      <c r="O182" t="s">
        <v>448</v>
      </c>
      <c r="P182">
        <v>372.69</v>
      </c>
      <c r="Q182">
        <v>401.03</v>
      </c>
      <c r="R182">
        <v>12537.43</v>
      </c>
      <c r="S182">
        <v>0</v>
      </c>
      <c r="T182">
        <v>12537.43</v>
      </c>
      <c r="U182" s="2" t="s">
        <v>29</v>
      </c>
      <c r="V182" s="4"/>
      <c r="W182">
        <v>0</v>
      </c>
      <c r="X182" s="1"/>
      <c r="Y182">
        <v>0</v>
      </c>
      <c r="Z182">
        <v>10</v>
      </c>
      <c r="AA182">
        <v>2025</v>
      </c>
      <c r="AB182" t="s">
        <v>459</v>
      </c>
      <c r="AC182" s="2" t="s">
        <v>39</v>
      </c>
    </row>
    <row r="183" spans="1:29" x14ac:dyDescent="0.25">
      <c r="A183" s="1">
        <v>45955</v>
      </c>
      <c r="B183" s="1">
        <v>45962</v>
      </c>
      <c r="C183" s="2" t="s">
        <v>41</v>
      </c>
      <c r="D183" s="2" t="s">
        <v>28</v>
      </c>
      <c r="E183" s="3" t="s">
        <v>88</v>
      </c>
      <c r="F183" s="2" t="s">
        <v>166</v>
      </c>
      <c r="G183" s="2" t="s">
        <v>377</v>
      </c>
      <c r="H183" s="2" t="s">
        <v>45</v>
      </c>
      <c r="I183" s="2" t="s">
        <v>47</v>
      </c>
      <c r="J183" s="2" t="s">
        <v>29</v>
      </c>
      <c r="K183" s="2" t="s">
        <v>55</v>
      </c>
      <c r="L183" s="1">
        <v>45958</v>
      </c>
      <c r="M183" s="2" t="s">
        <v>29</v>
      </c>
      <c r="N183">
        <v>84</v>
      </c>
      <c r="O183" t="s">
        <v>446</v>
      </c>
      <c r="P183">
        <v>404.5</v>
      </c>
      <c r="Q183">
        <v>610.76</v>
      </c>
      <c r="R183">
        <v>19850</v>
      </c>
      <c r="S183">
        <v>19700</v>
      </c>
      <c r="T183">
        <v>150</v>
      </c>
      <c r="U183" s="2" t="s">
        <v>29</v>
      </c>
      <c r="V183" s="4"/>
      <c r="W183">
        <v>0</v>
      </c>
      <c r="X183" s="1"/>
      <c r="Y183">
        <v>0</v>
      </c>
      <c r="Z183">
        <v>10</v>
      </c>
      <c r="AA183">
        <v>2025</v>
      </c>
      <c r="AB183" t="s">
        <v>459</v>
      </c>
      <c r="AC183" s="2" t="s">
        <v>46</v>
      </c>
    </row>
    <row r="184" spans="1:29" x14ac:dyDescent="0.25">
      <c r="A184" s="1">
        <v>45956</v>
      </c>
      <c r="B184" s="1">
        <v>45963</v>
      </c>
      <c r="C184" s="2" t="s">
        <v>41</v>
      </c>
      <c r="D184" s="2" t="s">
        <v>28</v>
      </c>
      <c r="E184" s="3" t="s">
        <v>76</v>
      </c>
      <c r="F184" s="2" t="s">
        <v>154</v>
      </c>
      <c r="G184" s="2" t="s">
        <v>378</v>
      </c>
      <c r="H184" s="2" t="s">
        <v>37</v>
      </c>
      <c r="I184" s="2" t="s">
        <v>47</v>
      </c>
      <c r="J184" s="2" t="s">
        <v>29</v>
      </c>
      <c r="K184" s="2" t="s">
        <v>56</v>
      </c>
      <c r="L184" s="1">
        <v>45959</v>
      </c>
      <c r="M184" s="2" t="s">
        <v>29</v>
      </c>
      <c r="N184">
        <v>31</v>
      </c>
      <c r="O184" t="s">
        <v>448</v>
      </c>
      <c r="P184">
        <v>775.69</v>
      </c>
      <c r="Q184">
        <v>610.76</v>
      </c>
      <c r="R184">
        <v>19700</v>
      </c>
      <c r="S184">
        <v>0</v>
      </c>
      <c r="T184">
        <v>19700</v>
      </c>
      <c r="U184" s="2" t="s">
        <v>29</v>
      </c>
      <c r="V184" s="4"/>
      <c r="W184">
        <v>0</v>
      </c>
      <c r="X184" s="1"/>
      <c r="Y184">
        <v>0</v>
      </c>
      <c r="Z184">
        <v>10</v>
      </c>
      <c r="AA184">
        <v>2025</v>
      </c>
      <c r="AB184" t="s">
        <v>459</v>
      </c>
      <c r="AC184" s="2" t="s">
        <v>39</v>
      </c>
    </row>
    <row r="185" spans="1:29" x14ac:dyDescent="0.25">
      <c r="A185" s="1">
        <v>45958</v>
      </c>
      <c r="B185" s="1"/>
      <c r="C185" s="2" t="s">
        <v>44</v>
      </c>
      <c r="D185" s="2" t="s">
        <v>28</v>
      </c>
      <c r="E185" s="3" t="s">
        <v>132</v>
      </c>
      <c r="F185" s="2" t="s">
        <v>186</v>
      </c>
      <c r="G185" s="2" t="s">
        <v>379</v>
      </c>
      <c r="H185" s="2" t="s">
        <v>34</v>
      </c>
      <c r="I185" s="2" t="s">
        <v>61</v>
      </c>
      <c r="J185" s="2" t="s">
        <v>29</v>
      </c>
      <c r="K185" s="2" t="s">
        <v>62</v>
      </c>
      <c r="L185" s="1"/>
      <c r="M185" s="2" t="s">
        <v>29</v>
      </c>
      <c r="N185">
        <v>84</v>
      </c>
      <c r="O185" t="s">
        <v>446</v>
      </c>
      <c r="P185">
        <v>452</v>
      </c>
      <c r="Q185">
        <v>542.53</v>
      </c>
      <c r="R185">
        <v>0</v>
      </c>
      <c r="S185">
        <v>0</v>
      </c>
      <c r="T185">
        <v>0</v>
      </c>
      <c r="U185" s="2" t="s">
        <v>29</v>
      </c>
      <c r="V185" s="4"/>
      <c r="W185">
        <v>0</v>
      </c>
      <c r="X185" s="1"/>
      <c r="Y185">
        <v>0</v>
      </c>
      <c r="Z185">
        <v>10</v>
      </c>
      <c r="AA185">
        <v>2025</v>
      </c>
      <c r="AB185" t="s">
        <v>459</v>
      </c>
      <c r="AC185" s="2" t="s">
        <v>35</v>
      </c>
    </row>
    <row r="186" spans="1:29" x14ac:dyDescent="0.25">
      <c r="A186" s="1">
        <v>45960</v>
      </c>
      <c r="B186" s="1"/>
      <c r="C186" s="2" t="s">
        <v>44</v>
      </c>
      <c r="D186" s="2" t="s">
        <v>28</v>
      </c>
      <c r="E186" s="3" t="s">
        <v>77</v>
      </c>
      <c r="F186" s="2" t="s">
        <v>155</v>
      </c>
      <c r="G186" s="2" t="s">
        <v>380</v>
      </c>
      <c r="H186" s="2" t="s">
        <v>34</v>
      </c>
      <c r="I186" s="2" t="s">
        <v>61</v>
      </c>
      <c r="J186" s="2" t="s">
        <v>29</v>
      </c>
      <c r="K186" s="2" t="s">
        <v>62</v>
      </c>
      <c r="L186" s="1"/>
      <c r="M186" s="2" t="s">
        <v>29</v>
      </c>
      <c r="N186">
        <v>84</v>
      </c>
      <c r="O186" t="s">
        <v>446</v>
      </c>
      <c r="P186">
        <v>146</v>
      </c>
      <c r="Q186">
        <v>174.81</v>
      </c>
      <c r="R186">
        <v>0</v>
      </c>
      <c r="S186">
        <v>0</v>
      </c>
      <c r="T186">
        <v>0</v>
      </c>
      <c r="U186" s="2" t="s">
        <v>29</v>
      </c>
      <c r="V186" s="4"/>
      <c r="W186">
        <v>0</v>
      </c>
      <c r="X186" s="1"/>
      <c r="Y186">
        <v>0</v>
      </c>
      <c r="Z186">
        <v>10</v>
      </c>
      <c r="AA186">
        <v>2025</v>
      </c>
      <c r="AB186" t="s">
        <v>459</v>
      </c>
      <c r="AC186" s="2" t="s">
        <v>35</v>
      </c>
    </row>
    <row r="187" spans="1:29" x14ac:dyDescent="0.25">
      <c r="A187" s="1">
        <v>45962</v>
      </c>
      <c r="B187" s="1"/>
      <c r="C187" s="2" t="s">
        <v>44</v>
      </c>
      <c r="D187" s="2" t="s">
        <v>28</v>
      </c>
      <c r="E187" s="3" t="s">
        <v>82</v>
      </c>
      <c r="F187" s="2" t="s">
        <v>160</v>
      </c>
      <c r="G187" s="2" t="s">
        <v>381</v>
      </c>
      <c r="H187" s="2" t="s">
        <v>58</v>
      </c>
      <c r="I187" s="2" t="s">
        <v>61</v>
      </c>
      <c r="J187" s="2" t="s">
        <v>29</v>
      </c>
      <c r="K187" s="2" t="s">
        <v>62</v>
      </c>
      <c r="L187" s="1"/>
      <c r="M187" s="2" t="s">
        <v>29</v>
      </c>
      <c r="N187">
        <v>84</v>
      </c>
      <c r="O187" t="s">
        <v>446</v>
      </c>
      <c r="P187">
        <v>0</v>
      </c>
      <c r="Q187">
        <v>109.7</v>
      </c>
      <c r="R187">
        <v>0</v>
      </c>
      <c r="S187">
        <v>0</v>
      </c>
      <c r="T187">
        <v>0</v>
      </c>
      <c r="U187" s="2" t="s">
        <v>29</v>
      </c>
      <c r="V187" s="4"/>
      <c r="W187">
        <v>0</v>
      </c>
      <c r="X187" s="1"/>
      <c r="Y187">
        <v>0</v>
      </c>
      <c r="Z187">
        <v>11</v>
      </c>
      <c r="AA187">
        <v>2025</v>
      </c>
      <c r="AB187" t="s">
        <v>460</v>
      </c>
      <c r="AC187" s="2" t="s">
        <v>58</v>
      </c>
    </row>
    <row r="188" spans="1:29" x14ac:dyDescent="0.25">
      <c r="A188" s="1">
        <v>45963</v>
      </c>
      <c r="B188" s="1"/>
      <c r="C188" s="2" t="s">
        <v>44</v>
      </c>
      <c r="D188" s="2" t="s">
        <v>28</v>
      </c>
      <c r="E188" s="3" t="s">
        <v>133</v>
      </c>
      <c r="F188" s="2" t="s">
        <v>189</v>
      </c>
      <c r="G188" s="2" t="s">
        <v>382</v>
      </c>
      <c r="H188" s="2" t="s">
        <v>30</v>
      </c>
      <c r="I188" s="2" t="s">
        <v>61</v>
      </c>
      <c r="J188" s="2" t="s">
        <v>29</v>
      </c>
      <c r="K188" s="2" t="s">
        <v>62</v>
      </c>
      <c r="L188" s="1"/>
      <c r="M188" s="2" t="s">
        <v>29</v>
      </c>
      <c r="N188">
        <v>84</v>
      </c>
      <c r="O188" t="s">
        <v>446</v>
      </c>
      <c r="P188">
        <v>0</v>
      </c>
      <c r="Q188">
        <v>90.5</v>
      </c>
      <c r="R188">
        <v>0</v>
      </c>
      <c r="S188">
        <v>0</v>
      </c>
      <c r="T188">
        <v>0</v>
      </c>
      <c r="U188" s="2" t="s">
        <v>29</v>
      </c>
      <c r="V188" s="4"/>
      <c r="W188">
        <v>0</v>
      </c>
      <c r="X188" s="1"/>
      <c r="Y188">
        <v>0</v>
      </c>
      <c r="Z188">
        <v>11</v>
      </c>
      <c r="AA188">
        <v>2025</v>
      </c>
      <c r="AB188" t="s">
        <v>460</v>
      </c>
      <c r="AC188" s="2" t="s">
        <v>33</v>
      </c>
    </row>
    <row r="189" spans="1:29" x14ac:dyDescent="0.25">
      <c r="A189" s="1">
        <v>45965</v>
      </c>
      <c r="B189" s="1"/>
      <c r="C189" s="2" t="s">
        <v>44</v>
      </c>
      <c r="D189" s="2" t="s">
        <v>28</v>
      </c>
      <c r="E189" s="3" t="s">
        <v>134</v>
      </c>
      <c r="F189" s="2" t="s">
        <v>190</v>
      </c>
      <c r="G189" s="2" t="s">
        <v>383</v>
      </c>
      <c r="H189" s="2" t="s">
        <v>30</v>
      </c>
      <c r="I189" s="2" t="s">
        <v>61</v>
      </c>
      <c r="J189" s="2" t="s">
        <v>29</v>
      </c>
      <c r="K189" s="2" t="s">
        <v>62</v>
      </c>
      <c r="L189" s="1"/>
      <c r="M189" s="2" t="s">
        <v>29</v>
      </c>
      <c r="N189">
        <v>84</v>
      </c>
      <c r="O189" t="s">
        <v>446</v>
      </c>
      <c r="P189">
        <v>0</v>
      </c>
      <c r="Q189">
        <v>28</v>
      </c>
      <c r="R189">
        <v>0</v>
      </c>
      <c r="S189">
        <v>0</v>
      </c>
      <c r="T189">
        <v>0</v>
      </c>
      <c r="U189" s="2" t="s">
        <v>29</v>
      </c>
      <c r="V189" s="4"/>
      <c r="W189">
        <v>0</v>
      </c>
      <c r="X189" s="1"/>
      <c r="Y189">
        <v>0</v>
      </c>
      <c r="Z189">
        <v>11</v>
      </c>
      <c r="AA189">
        <v>2025</v>
      </c>
      <c r="AB189" t="s">
        <v>460</v>
      </c>
      <c r="AC189" s="2" t="s">
        <v>33</v>
      </c>
    </row>
    <row r="190" spans="1:29" x14ac:dyDescent="0.25">
      <c r="A190" s="1">
        <v>45966</v>
      </c>
      <c r="B190" s="1"/>
      <c r="C190" s="2" t="s">
        <v>44</v>
      </c>
      <c r="D190" s="2" t="s">
        <v>28</v>
      </c>
      <c r="E190" s="3" t="s">
        <v>135</v>
      </c>
      <c r="F190" s="2" t="s">
        <v>191</v>
      </c>
      <c r="G190" s="2" t="s">
        <v>384</v>
      </c>
      <c r="H190" s="2" t="s">
        <v>45</v>
      </c>
      <c r="I190" s="2" t="s">
        <v>31</v>
      </c>
      <c r="J190" s="2" t="s">
        <v>29</v>
      </c>
      <c r="K190" s="2" t="s">
        <v>52</v>
      </c>
      <c r="L190" s="1">
        <v>45969</v>
      </c>
      <c r="M190" s="2" t="s">
        <v>29</v>
      </c>
      <c r="N190">
        <v>84</v>
      </c>
      <c r="O190" t="s">
        <v>446</v>
      </c>
      <c r="P190">
        <v>260.94</v>
      </c>
      <c r="Q190">
        <v>450.48</v>
      </c>
      <c r="R190">
        <v>0</v>
      </c>
      <c r="S190">
        <v>14537.41</v>
      </c>
      <c r="T190">
        <v>-14537.41</v>
      </c>
      <c r="U190" s="2" t="s">
        <v>29</v>
      </c>
      <c r="V190" s="4"/>
      <c r="W190">
        <v>0</v>
      </c>
      <c r="X190" s="1"/>
      <c r="Y190">
        <v>0</v>
      </c>
      <c r="Z190">
        <v>11</v>
      </c>
      <c r="AA190">
        <v>2025</v>
      </c>
      <c r="AB190" t="s">
        <v>460</v>
      </c>
      <c r="AC190" s="2" t="s">
        <v>46</v>
      </c>
    </row>
    <row r="191" spans="1:29" x14ac:dyDescent="0.25">
      <c r="A191" s="1">
        <v>45968</v>
      </c>
      <c r="B191" s="1"/>
      <c r="C191" s="2" t="s">
        <v>44</v>
      </c>
      <c r="D191" s="2" t="s">
        <v>28</v>
      </c>
      <c r="E191" s="3" t="s">
        <v>93</v>
      </c>
      <c r="F191" s="2" t="s">
        <v>171</v>
      </c>
      <c r="G191" s="2" t="s">
        <v>385</v>
      </c>
      <c r="H191" s="2" t="s">
        <v>37</v>
      </c>
      <c r="I191" s="2" t="s">
        <v>31</v>
      </c>
      <c r="J191" s="2" t="s">
        <v>29</v>
      </c>
      <c r="K191" s="2" t="s">
        <v>52</v>
      </c>
      <c r="L191" s="1">
        <v>45971</v>
      </c>
      <c r="M191" s="2" t="s">
        <v>29</v>
      </c>
      <c r="N191">
        <v>43</v>
      </c>
      <c r="O191" t="s">
        <v>448</v>
      </c>
      <c r="P191">
        <v>421.66</v>
      </c>
      <c r="Q191">
        <v>450.48</v>
      </c>
      <c r="R191">
        <v>14537.41</v>
      </c>
      <c r="S191">
        <v>0</v>
      </c>
      <c r="T191">
        <v>14537.41</v>
      </c>
      <c r="U191" s="2" t="s">
        <v>29</v>
      </c>
      <c r="V191" s="4"/>
      <c r="W191">
        <v>0</v>
      </c>
      <c r="X191" s="1"/>
      <c r="Y191">
        <v>0</v>
      </c>
      <c r="Z191">
        <v>11</v>
      </c>
      <c r="AA191">
        <v>2025</v>
      </c>
      <c r="AB191" t="s">
        <v>460</v>
      </c>
      <c r="AC191" s="2" t="s">
        <v>39</v>
      </c>
    </row>
    <row r="192" spans="1:29" x14ac:dyDescent="0.25">
      <c r="A192" s="1">
        <v>45970</v>
      </c>
      <c r="B192" s="1">
        <v>45977</v>
      </c>
      <c r="C192" s="2" t="s">
        <v>27</v>
      </c>
      <c r="D192" s="2" t="s">
        <v>28</v>
      </c>
      <c r="E192" s="3" t="s">
        <v>75</v>
      </c>
      <c r="F192" s="2" t="s">
        <v>153</v>
      </c>
      <c r="G192" s="2" t="s">
        <v>386</v>
      </c>
      <c r="H192" s="2" t="s">
        <v>45</v>
      </c>
      <c r="I192" s="2" t="s">
        <v>48</v>
      </c>
      <c r="J192" s="2" t="s">
        <v>29</v>
      </c>
      <c r="K192" s="2" t="s">
        <v>55</v>
      </c>
      <c r="L192" s="1">
        <v>45973</v>
      </c>
      <c r="M192" s="2" t="s">
        <v>29</v>
      </c>
      <c r="N192">
        <v>84</v>
      </c>
      <c r="O192" t="s">
        <v>446</v>
      </c>
      <c r="P192">
        <v>368</v>
      </c>
      <c r="Q192">
        <v>476.86</v>
      </c>
      <c r="R192">
        <v>19005.259999999998</v>
      </c>
      <c r="S192">
        <v>18755.259999999998</v>
      </c>
      <c r="T192">
        <v>250</v>
      </c>
      <c r="U192" s="2" t="s">
        <v>29</v>
      </c>
      <c r="V192" s="4"/>
      <c r="W192">
        <v>0</v>
      </c>
      <c r="X192" s="1"/>
      <c r="Y192">
        <v>0</v>
      </c>
      <c r="Z192">
        <v>11</v>
      </c>
      <c r="AA192">
        <v>2025</v>
      </c>
      <c r="AB192" t="s">
        <v>460</v>
      </c>
      <c r="AC192" s="2" t="s">
        <v>46</v>
      </c>
    </row>
    <row r="193" spans="1:29" x14ac:dyDescent="0.25">
      <c r="A193" s="1">
        <v>45971</v>
      </c>
      <c r="B193" s="1">
        <v>45978</v>
      </c>
      <c r="C193" s="2" t="s">
        <v>27</v>
      </c>
      <c r="D193" s="2" t="s">
        <v>28</v>
      </c>
      <c r="E193" s="3" t="s">
        <v>76</v>
      </c>
      <c r="F193" s="2" t="s">
        <v>154</v>
      </c>
      <c r="G193" s="2" t="s">
        <v>387</v>
      </c>
      <c r="H193" s="2" t="s">
        <v>37</v>
      </c>
      <c r="I193" s="2" t="s">
        <v>48</v>
      </c>
      <c r="J193" s="2" t="s">
        <v>29</v>
      </c>
      <c r="K193" s="2" t="s">
        <v>56</v>
      </c>
      <c r="L193" s="1">
        <v>45974</v>
      </c>
      <c r="M193" s="2" t="s">
        <v>29</v>
      </c>
      <c r="N193">
        <v>58</v>
      </c>
      <c r="O193" t="s">
        <v>448</v>
      </c>
      <c r="P193">
        <v>470.4</v>
      </c>
      <c r="Q193">
        <v>476.86</v>
      </c>
      <c r="R193">
        <v>18755.259999999998</v>
      </c>
      <c r="S193">
        <v>0</v>
      </c>
      <c r="T193">
        <v>18755.259999999998</v>
      </c>
      <c r="U193" s="2" t="s">
        <v>29</v>
      </c>
      <c r="V193" s="4"/>
      <c r="W193">
        <v>0</v>
      </c>
      <c r="X193" s="1"/>
      <c r="Y193">
        <v>0</v>
      </c>
      <c r="Z193">
        <v>11</v>
      </c>
      <c r="AA193">
        <v>2025</v>
      </c>
      <c r="AB193" t="s">
        <v>460</v>
      </c>
      <c r="AC193" s="2" t="s">
        <v>39</v>
      </c>
    </row>
    <row r="194" spans="1:29" x14ac:dyDescent="0.25">
      <c r="A194" s="1">
        <v>45973</v>
      </c>
      <c r="B194" s="1"/>
      <c r="C194" s="2" t="s">
        <v>27</v>
      </c>
      <c r="D194" s="2" t="s">
        <v>28</v>
      </c>
      <c r="E194" s="3" t="s">
        <v>96</v>
      </c>
      <c r="F194" s="2" t="s">
        <v>174</v>
      </c>
      <c r="G194" s="2" t="s">
        <v>388</v>
      </c>
      <c r="H194" s="2" t="s">
        <v>58</v>
      </c>
      <c r="I194" s="2" t="s">
        <v>47</v>
      </c>
      <c r="J194" s="2" t="s">
        <v>29</v>
      </c>
      <c r="K194" s="2" t="s">
        <v>62</v>
      </c>
      <c r="L194" s="1">
        <v>45976</v>
      </c>
      <c r="M194" s="2" t="s">
        <v>29</v>
      </c>
      <c r="N194">
        <v>84</v>
      </c>
      <c r="O194" t="s">
        <v>446</v>
      </c>
      <c r="P194">
        <v>0</v>
      </c>
      <c r="Q194">
        <v>32.729999999999997</v>
      </c>
      <c r="R194">
        <v>0</v>
      </c>
      <c r="S194">
        <v>0</v>
      </c>
      <c r="T194">
        <v>0</v>
      </c>
      <c r="U194" s="2" t="s">
        <v>29</v>
      </c>
      <c r="V194" s="4"/>
      <c r="W194">
        <v>0</v>
      </c>
      <c r="X194" s="1"/>
      <c r="Y194">
        <v>0</v>
      </c>
      <c r="Z194">
        <v>11</v>
      </c>
      <c r="AA194">
        <v>2025</v>
      </c>
      <c r="AB194" t="s">
        <v>460</v>
      </c>
      <c r="AC194" s="2" t="s">
        <v>58</v>
      </c>
    </row>
    <row r="195" spans="1:29" x14ac:dyDescent="0.25">
      <c r="A195" s="1">
        <v>45974</v>
      </c>
      <c r="B195" s="1"/>
      <c r="C195" s="2" t="s">
        <v>27</v>
      </c>
      <c r="D195" s="2" t="s">
        <v>28</v>
      </c>
      <c r="E195" s="3" t="s">
        <v>80</v>
      </c>
      <c r="F195" s="2" t="s">
        <v>158</v>
      </c>
      <c r="G195" s="2" t="s">
        <v>389</v>
      </c>
      <c r="H195" s="2" t="s">
        <v>45</v>
      </c>
      <c r="I195" s="2" t="s">
        <v>47</v>
      </c>
      <c r="J195" s="2" t="s">
        <v>29</v>
      </c>
      <c r="K195" s="2" t="s">
        <v>62</v>
      </c>
      <c r="L195" s="1">
        <v>45977</v>
      </c>
      <c r="M195" s="2" t="s">
        <v>29</v>
      </c>
      <c r="N195">
        <v>0</v>
      </c>
      <c r="O195" t="s">
        <v>447</v>
      </c>
      <c r="P195">
        <v>519</v>
      </c>
      <c r="Q195">
        <v>666.63</v>
      </c>
      <c r="R195">
        <v>0</v>
      </c>
      <c r="S195">
        <v>0</v>
      </c>
      <c r="T195">
        <v>0</v>
      </c>
      <c r="U195" s="2" t="s">
        <v>29</v>
      </c>
      <c r="V195" s="4"/>
      <c r="W195">
        <v>0</v>
      </c>
      <c r="X195" s="1"/>
      <c r="Y195">
        <v>0</v>
      </c>
      <c r="Z195">
        <v>11</v>
      </c>
      <c r="AA195">
        <v>2025</v>
      </c>
      <c r="AB195" t="s">
        <v>460</v>
      </c>
      <c r="AC195" s="2" t="s">
        <v>46</v>
      </c>
    </row>
    <row r="196" spans="1:29" x14ac:dyDescent="0.25">
      <c r="A196" s="1">
        <v>45976</v>
      </c>
      <c r="B196" s="1"/>
      <c r="C196" s="2" t="s">
        <v>27</v>
      </c>
      <c r="D196" s="2" t="s">
        <v>28</v>
      </c>
      <c r="E196" s="3" t="s">
        <v>98</v>
      </c>
      <c r="F196" s="2" t="s">
        <v>176</v>
      </c>
      <c r="G196" s="2" t="s">
        <v>390</v>
      </c>
      <c r="H196" s="2" t="s">
        <v>37</v>
      </c>
      <c r="I196" s="2" t="s">
        <v>47</v>
      </c>
      <c r="J196" s="2" t="s">
        <v>29</v>
      </c>
      <c r="K196" s="2" t="s">
        <v>62</v>
      </c>
      <c r="L196" s="1">
        <v>45979</v>
      </c>
      <c r="M196" s="2" t="s">
        <v>29</v>
      </c>
      <c r="N196">
        <v>0</v>
      </c>
      <c r="O196" t="s">
        <v>447</v>
      </c>
      <c r="P196">
        <v>663.51</v>
      </c>
      <c r="Q196">
        <v>666.63</v>
      </c>
      <c r="R196">
        <v>0</v>
      </c>
      <c r="S196">
        <v>0</v>
      </c>
      <c r="T196">
        <v>0</v>
      </c>
      <c r="U196" s="2" t="s">
        <v>29</v>
      </c>
      <c r="V196" s="4"/>
      <c r="W196">
        <v>0</v>
      </c>
      <c r="X196" s="1"/>
      <c r="Y196">
        <v>0</v>
      </c>
      <c r="Z196">
        <v>11</v>
      </c>
      <c r="AA196">
        <v>2025</v>
      </c>
      <c r="AB196" t="s">
        <v>460</v>
      </c>
      <c r="AC196" s="2" t="s">
        <v>39</v>
      </c>
    </row>
    <row r="197" spans="1:29" x14ac:dyDescent="0.25">
      <c r="A197" s="1">
        <v>45978</v>
      </c>
      <c r="B197" s="1"/>
      <c r="C197" s="2" t="s">
        <v>41</v>
      </c>
      <c r="D197" s="2" t="s">
        <v>28</v>
      </c>
      <c r="E197" s="3" t="s">
        <v>131</v>
      </c>
      <c r="F197" s="2" t="s">
        <v>188</v>
      </c>
      <c r="G197" s="2" t="s">
        <v>391</v>
      </c>
      <c r="H197" s="2" t="s">
        <v>34</v>
      </c>
      <c r="I197" s="2" t="s">
        <v>48</v>
      </c>
      <c r="J197" s="2" t="s">
        <v>29</v>
      </c>
      <c r="K197" s="2" t="s">
        <v>32</v>
      </c>
      <c r="L197" s="1">
        <v>45981</v>
      </c>
      <c r="M197" s="2" t="s">
        <v>29</v>
      </c>
      <c r="N197">
        <v>84</v>
      </c>
      <c r="O197" t="s">
        <v>446</v>
      </c>
      <c r="P197">
        <v>896</v>
      </c>
      <c r="Q197">
        <v>1000</v>
      </c>
      <c r="R197">
        <v>0</v>
      </c>
      <c r="S197">
        <v>0</v>
      </c>
      <c r="T197">
        <v>0</v>
      </c>
      <c r="U197" s="2" t="s">
        <v>29</v>
      </c>
      <c r="V197" s="4"/>
      <c r="W197">
        <v>0</v>
      </c>
      <c r="X197" s="1"/>
      <c r="Y197">
        <v>0</v>
      </c>
      <c r="Z197">
        <v>11</v>
      </c>
      <c r="AA197">
        <v>2025</v>
      </c>
      <c r="AB197" t="s">
        <v>460</v>
      </c>
      <c r="AC197" s="2" t="s">
        <v>35</v>
      </c>
    </row>
    <row r="198" spans="1:29" x14ac:dyDescent="0.25">
      <c r="A198" s="1">
        <v>45979</v>
      </c>
      <c r="B198" s="1"/>
      <c r="C198" s="2" t="s">
        <v>27</v>
      </c>
      <c r="D198" s="2" t="s">
        <v>28</v>
      </c>
      <c r="E198" s="3" t="s">
        <v>99</v>
      </c>
      <c r="F198" s="2" t="s">
        <v>177</v>
      </c>
      <c r="G198" s="2" t="s">
        <v>392</v>
      </c>
      <c r="H198" s="2" t="s">
        <v>37</v>
      </c>
      <c r="I198" s="2" t="s">
        <v>47</v>
      </c>
      <c r="J198" s="2" t="s">
        <v>29</v>
      </c>
      <c r="K198" s="2" t="s">
        <v>55</v>
      </c>
      <c r="L198" s="1">
        <v>45982</v>
      </c>
      <c r="M198" s="2" t="s">
        <v>29</v>
      </c>
      <c r="N198">
        <v>29</v>
      </c>
      <c r="O198" t="s">
        <v>448</v>
      </c>
      <c r="P198">
        <v>284.83999999999997</v>
      </c>
      <c r="Q198">
        <v>305.8</v>
      </c>
      <c r="R198">
        <v>6850.1</v>
      </c>
      <c r="S198">
        <v>0</v>
      </c>
      <c r="T198">
        <v>6850.1</v>
      </c>
      <c r="U198" s="2" t="s">
        <v>29</v>
      </c>
      <c r="V198" s="4"/>
      <c r="W198">
        <v>0</v>
      </c>
      <c r="X198" s="1"/>
      <c r="Y198">
        <v>0</v>
      </c>
      <c r="Z198">
        <v>11</v>
      </c>
      <c r="AA198">
        <v>2025</v>
      </c>
      <c r="AB198" t="s">
        <v>460</v>
      </c>
      <c r="AC198" s="2" t="s">
        <v>39</v>
      </c>
    </row>
    <row r="199" spans="1:29" x14ac:dyDescent="0.25">
      <c r="A199" s="1">
        <v>45981</v>
      </c>
      <c r="B199" s="1"/>
      <c r="C199" s="2" t="s">
        <v>41</v>
      </c>
      <c r="D199" s="2" t="s">
        <v>28</v>
      </c>
      <c r="E199" s="3" t="s">
        <v>132</v>
      </c>
      <c r="F199" s="2" t="s">
        <v>186</v>
      </c>
      <c r="G199" s="2" t="s">
        <v>393</v>
      </c>
      <c r="H199" s="2" t="s">
        <v>58</v>
      </c>
      <c r="I199" s="2" t="s">
        <v>63</v>
      </c>
      <c r="J199" s="2" t="s">
        <v>29</v>
      </c>
      <c r="K199" s="2" t="s">
        <v>55</v>
      </c>
      <c r="L199" s="1">
        <v>45984</v>
      </c>
      <c r="M199" s="2" t="s">
        <v>29</v>
      </c>
      <c r="N199">
        <v>84</v>
      </c>
      <c r="O199" t="s">
        <v>446</v>
      </c>
      <c r="P199">
        <v>0</v>
      </c>
      <c r="Q199">
        <v>44.66</v>
      </c>
      <c r="R199">
        <v>1837.86</v>
      </c>
      <c r="S199">
        <v>0</v>
      </c>
      <c r="T199">
        <v>1837.86</v>
      </c>
      <c r="U199" s="2" t="s">
        <v>29</v>
      </c>
      <c r="V199" s="4"/>
      <c r="W199">
        <v>0</v>
      </c>
      <c r="X199" s="1"/>
      <c r="Y199">
        <v>0</v>
      </c>
      <c r="Z199">
        <v>11</v>
      </c>
      <c r="AA199">
        <v>2025</v>
      </c>
      <c r="AB199" t="s">
        <v>460</v>
      </c>
      <c r="AC199" s="2" t="s">
        <v>58</v>
      </c>
    </row>
    <row r="200" spans="1:29" x14ac:dyDescent="0.25">
      <c r="A200" s="1">
        <v>45983</v>
      </c>
      <c r="B200" s="1"/>
      <c r="C200" s="2" t="s">
        <v>41</v>
      </c>
      <c r="D200" s="2" t="s">
        <v>28</v>
      </c>
      <c r="E200" s="3" t="s">
        <v>132</v>
      </c>
      <c r="F200" s="2" t="s">
        <v>186</v>
      </c>
      <c r="G200" s="2" t="s">
        <v>394</v>
      </c>
      <c r="H200" s="2" t="s">
        <v>58</v>
      </c>
      <c r="I200" s="2" t="s">
        <v>63</v>
      </c>
      <c r="J200" s="2" t="s">
        <v>29</v>
      </c>
      <c r="K200" s="2" t="s">
        <v>55</v>
      </c>
      <c r="L200" s="1">
        <v>45986</v>
      </c>
      <c r="M200" s="2" t="s">
        <v>29</v>
      </c>
      <c r="N200">
        <v>84</v>
      </c>
      <c r="O200" t="s">
        <v>446</v>
      </c>
      <c r="P200">
        <v>0</v>
      </c>
      <c r="Q200">
        <v>27.4</v>
      </c>
      <c r="R200">
        <v>1127.57</v>
      </c>
      <c r="S200">
        <v>0</v>
      </c>
      <c r="T200">
        <v>1127.57</v>
      </c>
      <c r="U200" s="2" t="s">
        <v>29</v>
      </c>
      <c r="V200" s="4"/>
      <c r="W200">
        <v>0</v>
      </c>
      <c r="X200" s="1"/>
      <c r="Y200">
        <v>0</v>
      </c>
      <c r="Z200">
        <v>11</v>
      </c>
      <c r="AA200">
        <v>2025</v>
      </c>
      <c r="AB200" t="s">
        <v>460</v>
      </c>
      <c r="AC200" s="2" t="s">
        <v>58</v>
      </c>
    </row>
    <row r="201" spans="1:29" x14ac:dyDescent="0.25">
      <c r="A201" s="1">
        <v>45984</v>
      </c>
      <c r="B201" s="1"/>
      <c r="C201" s="2" t="s">
        <v>44</v>
      </c>
      <c r="D201" s="2" t="s">
        <v>28</v>
      </c>
      <c r="E201" s="3" t="s">
        <v>137</v>
      </c>
      <c r="F201" s="2" t="s">
        <v>193</v>
      </c>
      <c r="G201" s="2" t="s">
        <v>395</v>
      </c>
      <c r="H201" s="2" t="s">
        <v>37</v>
      </c>
      <c r="I201" s="2" t="s">
        <v>48</v>
      </c>
      <c r="J201" s="2" t="s">
        <v>29</v>
      </c>
      <c r="K201" s="2" t="s">
        <v>49</v>
      </c>
      <c r="L201" s="1">
        <v>45987</v>
      </c>
      <c r="M201" s="2" t="s">
        <v>29</v>
      </c>
      <c r="N201">
        <v>43</v>
      </c>
      <c r="O201" t="s">
        <v>448</v>
      </c>
      <c r="Q201">
        <v>488.74</v>
      </c>
      <c r="R201">
        <v>0</v>
      </c>
      <c r="S201">
        <v>0</v>
      </c>
      <c r="T201">
        <v>0</v>
      </c>
      <c r="U201" s="2" t="s">
        <v>29</v>
      </c>
      <c r="V201" s="4"/>
      <c r="W201">
        <v>0</v>
      </c>
      <c r="X201" s="1"/>
      <c r="Y201">
        <v>0</v>
      </c>
      <c r="Z201">
        <v>11</v>
      </c>
      <c r="AA201">
        <v>2025</v>
      </c>
      <c r="AB201" t="s">
        <v>460</v>
      </c>
      <c r="AC201" s="2" t="s">
        <v>39</v>
      </c>
    </row>
    <row r="202" spans="1:29" x14ac:dyDescent="0.25">
      <c r="A202" s="1">
        <v>45986</v>
      </c>
      <c r="B202" s="1"/>
      <c r="C202" s="2" t="s">
        <v>27</v>
      </c>
      <c r="D202" s="2" t="s">
        <v>28</v>
      </c>
      <c r="E202" s="3" t="s">
        <v>102</v>
      </c>
      <c r="F202" s="2" t="s">
        <v>180</v>
      </c>
      <c r="G202" s="2" t="s">
        <v>396</v>
      </c>
      <c r="H202" s="2" t="s">
        <v>45</v>
      </c>
      <c r="I202" s="2" t="s">
        <v>48</v>
      </c>
      <c r="J202" s="2" t="s">
        <v>29</v>
      </c>
      <c r="K202" s="2" t="s">
        <v>49</v>
      </c>
      <c r="L202" s="1">
        <v>45989</v>
      </c>
      <c r="M202" s="2" t="s">
        <v>29</v>
      </c>
      <c r="N202">
        <v>84</v>
      </c>
      <c r="O202" t="s">
        <v>446</v>
      </c>
      <c r="Q202">
        <v>757.47</v>
      </c>
      <c r="R202">
        <v>0</v>
      </c>
      <c r="S202">
        <v>0</v>
      </c>
      <c r="T202">
        <v>0</v>
      </c>
      <c r="U202" s="2" t="s">
        <v>29</v>
      </c>
      <c r="V202" s="4"/>
      <c r="W202">
        <v>0</v>
      </c>
      <c r="X202" s="1"/>
      <c r="Y202">
        <v>0</v>
      </c>
      <c r="Z202">
        <v>11</v>
      </c>
      <c r="AA202">
        <v>2025</v>
      </c>
      <c r="AB202" t="s">
        <v>460</v>
      </c>
      <c r="AC202" s="2" t="s">
        <v>46</v>
      </c>
    </row>
    <row r="203" spans="1:29" x14ac:dyDescent="0.25">
      <c r="A203" s="1">
        <v>45987</v>
      </c>
      <c r="B203" s="1"/>
      <c r="C203" s="2" t="s">
        <v>27</v>
      </c>
      <c r="D203" s="2" t="s">
        <v>28</v>
      </c>
      <c r="E203" s="3" t="s">
        <v>103</v>
      </c>
      <c r="F203" s="2" t="s">
        <v>181</v>
      </c>
      <c r="G203" s="2" t="s">
        <v>397</v>
      </c>
      <c r="H203" s="2" t="s">
        <v>37</v>
      </c>
      <c r="I203" s="2" t="s">
        <v>48</v>
      </c>
      <c r="J203" s="2" t="s">
        <v>29</v>
      </c>
      <c r="K203" s="2" t="s">
        <v>49</v>
      </c>
      <c r="L203" s="1">
        <v>45990</v>
      </c>
      <c r="M203" s="2" t="s">
        <v>29</v>
      </c>
      <c r="N203">
        <v>38</v>
      </c>
      <c r="O203" t="s">
        <v>448</v>
      </c>
      <c r="Q203">
        <v>757.47</v>
      </c>
      <c r="R203">
        <v>0</v>
      </c>
      <c r="S203">
        <v>0</v>
      </c>
      <c r="T203">
        <v>0</v>
      </c>
      <c r="U203" s="2" t="s">
        <v>29</v>
      </c>
      <c r="V203" s="4"/>
      <c r="W203">
        <v>0</v>
      </c>
      <c r="X203" s="1"/>
      <c r="Y203">
        <v>0</v>
      </c>
      <c r="Z203">
        <v>11</v>
      </c>
      <c r="AA203">
        <v>2025</v>
      </c>
      <c r="AB203" t="s">
        <v>460</v>
      </c>
      <c r="AC203" s="2" t="s">
        <v>39</v>
      </c>
    </row>
    <row r="204" spans="1:29" x14ac:dyDescent="0.25">
      <c r="A204" s="1">
        <v>45989</v>
      </c>
      <c r="B204" s="1"/>
      <c r="C204" s="2" t="s">
        <v>41</v>
      </c>
      <c r="D204" s="2" t="s">
        <v>28</v>
      </c>
      <c r="E204" s="3" t="s">
        <v>104</v>
      </c>
      <c r="F204" s="2" t="s">
        <v>182</v>
      </c>
      <c r="G204" s="2" t="s">
        <v>398</v>
      </c>
      <c r="H204" s="2" t="s">
        <v>58</v>
      </c>
      <c r="I204" s="2" t="s">
        <v>31</v>
      </c>
      <c r="J204" s="2" t="s">
        <v>29</v>
      </c>
      <c r="K204" s="2" t="s">
        <v>38</v>
      </c>
      <c r="L204" s="1">
        <v>45992</v>
      </c>
      <c r="M204" s="2" t="s">
        <v>29</v>
      </c>
      <c r="N204">
        <v>84</v>
      </c>
      <c r="O204" t="s">
        <v>446</v>
      </c>
      <c r="P204">
        <v>0</v>
      </c>
      <c r="Q204">
        <v>57.07</v>
      </c>
      <c r="R204">
        <v>2836.43</v>
      </c>
      <c r="S204">
        <v>0</v>
      </c>
      <c r="T204">
        <v>2836.43</v>
      </c>
      <c r="U204" s="2" t="s">
        <v>29</v>
      </c>
      <c r="V204" s="4"/>
      <c r="W204">
        <v>0</v>
      </c>
      <c r="X204" s="1"/>
      <c r="Y204">
        <v>0</v>
      </c>
      <c r="Z204">
        <v>11</v>
      </c>
      <c r="AA204">
        <v>2025</v>
      </c>
      <c r="AB204" t="s">
        <v>460</v>
      </c>
      <c r="AC204" s="2" t="s">
        <v>58</v>
      </c>
    </row>
    <row r="205" spans="1:29" x14ac:dyDescent="0.25">
      <c r="A205" s="1">
        <v>45991</v>
      </c>
      <c r="B205" s="1"/>
      <c r="C205" s="2" t="s">
        <v>41</v>
      </c>
      <c r="D205" s="2" t="s">
        <v>28</v>
      </c>
      <c r="E205" s="3" t="s">
        <v>72</v>
      </c>
      <c r="F205" s="2" t="s">
        <v>150</v>
      </c>
      <c r="G205" s="2" t="s">
        <v>399</v>
      </c>
      <c r="H205" s="2" t="s">
        <v>50</v>
      </c>
      <c r="I205" s="2" t="s">
        <v>31</v>
      </c>
      <c r="J205" s="2" t="s">
        <v>29</v>
      </c>
      <c r="K205" s="2" t="s">
        <v>49</v>
      </c>
      <c r="L205" s="1">
        <v>45994</v>
      </c>
      <c r="M205" s="2" t="s">
        <v>29</v>
      </c>
      <c r="N205">
        <v>84</v>
      </c>
      <c r="O205" t="s">
        <v>446</v>
      </c>
      <c r="P205">
        <v>0</v>
      </c>
      <c r="Q205">
        <v>0</v>
      </c>
      <c r="R205">
        <v>0</v>
      </c>
      <c r="S205">
        <v>0</v>
      </c>
      <c r="T205">
        <v>0</v>
      </c>
      <c r="U205" s="2" t="s">
        <v>29</v>
      </c>
      <c r="V205" s="4"/>
      <c r="W205">
        <v>0</v>
      </c>
      <c r="X205" s="1"/>
      <c r="Y205">
        <v>0</v>
      </c>
      <c r="Z205">
        <v>11</v>
      </c>
      <c r="AA205">
        <v>2025</v>
      </c>
      <c r="AB205" t="s">
        <v>460</v>
      </c>
      <c r="AC205" s="2" t="s">
        <v>50</v>
      </c>
    </row>
    <row r="206" spans="1:29" x14ac:dyDescent="0.25">
      <c r="A206" s="1">
        <v>45992</v>
      </c>
      <c r="B206" s="1"/>
      <c r="C206" s="2" t="s">
        <v>41</v>
      </c>
      <c r="D206" s="2" t="s">
        <v>28</v>
      </c>
      <c r="E206" s="3" t="s">
        <v>144</v>
      </c>
      <c r="F206" s="2" t="s">
        <v>195</v>
      </c>
      <c r="G206" s="2" t="s">
        <v>400</v>
      </c>
      <c r="H206" s="2" t="s">
        <v>64</v>
      </c>
      <c r="I206" s="2" t="s">
        <v>31</v>
      </c>
      <c r="J206" s="2" t="s">
        <v>29</v>
      </c>
      <c r="K206" s="2" t="s">
        <v>49</v>
      </c>
      <c r="L206" s="1">
        <v>45995</v>
      </c>
      <c r="M206" s="2" t="s">
        <v>29</v>
      </c>
      <c r="N206">
        <v>84</v>
      </c>
      <c r="O206" t="s">
        <v>446</v>
      </c>
      <c r="P206">
        <v>0</v>
      </c>
      <c r="Q206">
        <v>0</v>
      </c>
      <c r="R206">
        <v>0</v>
      </c>
      <c r="S206">
        <v>0</v>
      </c>
      <c r="T206">
        <v>0</v>
      </c>
      <c r="U206" s="2" t="s">
        <v>29</v>
      </c>
      <c r="V206" s="4"/>
      <c r="W206">
        <v>0</v>
      </c>
      <c r="X206" s="1"/>
      <c r="Y206">
        <v>0</v>
      </c>
      <c r="Z206">
        <v>12</v>
      </c>
      <c r="AA206">
        <v>2025</v>
      </c>
      <c r="AB206" t="s">
        <v>461</v>
      </c>
      <c r="AC206" s="2" t="s">
        <v>64</v>
      </c>
    </row>
    <row r="207" spans="1:29" x14ac:dyDescent="0.25">
      <c r="A207" s="1">
        <v>45994</v>
      </c>
      <c r="B207" s="1"/>
      <c r="C207" s="2" t="s">
        <v>41</v>
      </c>
      <c r="D207" s="2" t="s">
        <v>28</v>
      </c>
      <c r="E207" s="3" t="s">
        <v>106</v>
      </c>
      <c r="F207" s="2" t="s">
        <v>184</v>
      </c>
      <c r="G207" s="2" t="s">
        <v>401</v>
      </c>
      <c r="H207" s="2" t="s">
        <v>45</v>
      </c>
      <c r="I207" s="2" t="s">
        <v>31</v>
      </c>
      <c r="J207" s="2" t="s">
        <v>29</v>
      </c>
      <c r="K207" s="2" t="s">
        <v>38</v>
      </c>
      <c r="L207" s="1">
        <v>45997</v>
      </c>
      <c r="M207" s="2" t="s">
        <v>29</v>
      </c>
      <c r="N207">
        <v>84</v>
      </c>
      <c r="O207" t="s">
        <v>446</v>
      </c>
      <c r="P207">
        <v>74.47</v>
      </c>
      <c r="Q207">
        <v>385.99</v>
      </c>
      <c r="R207">
        <v>4028</v>
      </c>
      <c r="S207">
        <v>3928</v>
      </c>
      <c r="T207">
        <v>100</v>
      </c>
      <c r="U207" s="2" t="s">
        <v>29</v>
      </c>
      <c r="V207" s="4"/>
      <c r="W207">
        <v>0</v>
      </c>
      <c r="X207" s="1"/>
      <c r="Y207">
        <v>0</v>
      </c>
      <c r="Z207">
        <v>12</v>
      </c>
      <c r="AA207">
        <v>2025</v>
      </c>
      <c r="AB207" t="s">
        <v>461</v>
      </c>
      <c r="AC207" s="2" t="s">
        <v>46</v>
      </c>
    </row>
    <row r="208" spans="1:29" x14ac:dyDescent="0.25">
      <c r="A208" s="1">
        <v>45996</v>
      </c>
      <c r="B208" s="1"/>
      <c r="C208" s="2" t="s">
        <v>41</v>
      </c>
      <c r="D208" s="2" t="s">
        <v>28</v>
      </c>
      <c r="E208" s="3" t="s">
        <v>107</v>
      </c>
      <c r="F208" s="2" t="s">
        <v>146</v>
      </c>
      <c r="G208" s="2" t="s">
        <v>402</v>
      </c>
      <c r="H208" s="2" t="s">
        <v>37</v>
      </c>
      <c r="I208" s="2" t="s">
        <v>31</v>
      </c>
      <c r="J208" s="2" t="s">
        <v>29</v>
      </c>
      <c r="K208" s="2" t="s">
        <v>38</v>
      </c>
      <c r="L208" s="1">
        <v>45999</v>
      </c>
      <c r="M208" s="2" t="s">
        <v>29</v>
      </c>
      <c r="N208">
        <v>84</v>
      </c>
      <c r="O208" t="s">
        <v>446</v>
      </c>
      <c r="P208">
        <v>384.72</v>
      </c>
      <c r="Q208">
        <v>385.99</v>
      </c>
      <c r="R208">
        <v>3928</v>
      </c>
      <c r="S208">
        <v>0</v>
      </c>
      <c r="T208">
        <v>3928</v>
      </c>
      <c r="U208" s="2" t="s">
        <v>29</v>
      </c>
      <c r="V208" s="4"/>
      <c r="W208">
        <v>0</v>
      </c>
      <c r="X208" s="1"/>
      <c r="Y208">
        <v>0</v>
      </c>
      <c r="Z208">
        <v>12</v>
      </c>
      <c r="AA208">
        <v>2025</v>
      </c>
      <c r="AB208" t="s">
        <v>461</v>
      </c>
      <c r="AC208" s="2" t="s">
        <v>39</v>
      </c>
    </row>
    <row r="209" spans="1:29" x14ac:dyDescent="0.25">
      <c r="A209" s="1">
        <v>45997</v>
      </c>
      <c r="B209" s="1"/>
      <c r="C209" s="2" t="s">
        <v>27</v>
      </c>
      <c r="D209" s="2" t="s">
        <v>28</v>
      </c>
      <c r="E209" s="3" t="s">
        <v>145</v>
      </c>
      <c r="F209" s="2" t="s">
        <v>187</v>
      </c>
      <c r="G209" s="2" t="s">
        <v>403</v>
      </c>
      <c r="H209" s="2" t="s">
        <v>37</v>
      </c>
      <c r="I209" s="2" t="s">
        <v>31</v>
      </c>
      <c r="J209" s="2" t="s">
        <v>29</v>
      </c>
      <c r="K209" s="2" t="s">
        <v>38</v>
      </c>
      <c r="L209" s="1">
        <v>46000</v>
      </c>
      <c r="M209" s="2" t="s">
        <v>29</v>
      </c>
      <c r="N209">
        <v>42</v>
      </c>
      <c r="O209" t="s">
        <v>448</v>
      </c>
      <c r="P209">
        <v>394.43</v>
      </c>
      <c r="Q209">
        <v>397.71</v>
      </c>
      <c r="R209">
        <v>13100</v>
      </c>
      <c r="S209">
        <v>0</v>
      </c>
      <c r="T209">
        <v>13100</v>
      </c>
      <c r="U209" s="2" t="s">
        <v>29</v>
      </c>
      <c r="V209" s="4"/>
      <c r="W209">
        <v>0</v>
      </c>
      <c r="X209" s="1"/>
      <c r="Y209">
        <v>0</v>
      </c>
      <c r="Z209">
        <v>12</v>
      </c>
      <c r="AA209">
        <v>2025</v>
      </c>
      <c r="AB209" t="s">
        <v>461</v>
      </c>
      <c r="AC209" s="2" t="s">
        <v>39</v>
      </c>
    </row>
    <row r="210" spans="1:29" x14ac:dyDescent="0.25">
      <c r="A210" s="1">
        <v>45999</v>
      </c>
      <c r="B210" s="1"/>
      <c r="C210" s="2" t="s">
        <v>27</v>
      </c>
      <c r="D210" s="2" t="s">
        <v>28</v>
      </c>
      <c r="E210" s="3" t="s">
        <v>109</v>
      </c>
      <c r="F210" s="2" t="s">
        <v>149</v>
      </c>
      <c r="G210" s="2" t="s">
        <v>404</v>
      </c>
      <c r="H210" s="2" t="s">
        <v>37</v>
      </c>
      <c r="I210" s="2" t="s">
        <v>48</v>
      </c>
      <c r="J210" s="2" t="s">
        <v>29</v>
      </c>
      <c r="K210" s="2" t="s">
        <v>55</v>
      </c>
      <c r="L210" s="1">
        <v>46002</v>
      </c>
      <c r="M210" s="2" t="s">
        <v>29</v>
      </c>
      <c r="N210">
        <v>23</v>
      </c>
      <c r="O210" t="s">
        <v>447</v>
      </c>
      <c r="P210">
        <v>349.73</v>
      </c>
      <c r="Q210">
        <v>386.74</v>
      </c>
      <c r="R210">
        <v>6949.11</v>
      </c>
      <c r="S210">
        <v>0</v>
      </c>
      <c r="T210">
        <v>6949.11</v>
      </c>
      <c r="U210" s="2" t="s">
        <v>29</v>
      </c>
      <c r="V210" s="4"/>
      <c r="W210">
        <v>0</v>
      </c>
      <c r="X210" s="1"/>
      <c r="Y210">
        <v>0</v>
      </c>
      <c r="Z210">
        <v>12</v>
      </c>
      <c r="AA210">
        <v>2025</v>
      </c>
      <c r="AB210" t="s">
        <v>461</v>
      </c>
      <c r="AC210" s="2" t="s">
        <v>39</v>
      </c>
    </row>
    <row r="211" spans="1:29" x14ac:dyDescent="0.25">
      <c r="A211" s="1">
        <v>46001</v>
      </c>
      <c r="B211" s="1"/>
      <c r="C211" s="2" t="s">
        <v>40</v>
      </c>
      <c r="D211" s="2" t="s">
        <v>28</v>
      </c>
      <c r="E211" s="3" t="s">
        <v>83</v>
      </c>
      <c r="F211" s="2" t="s">
        <v>161</v>
      </c>
      <c r="G211" s="2" t="s">
        <v>405</v>
      </c>
      <c r="H211" s="2" t="s">
        <v>45</v>
      </c>
      <c r="I211" s="2" t="s">
        <v>31</v>
      </c>
      <c r="J211" s="2" t="s">
        <v>29</v>
      </c>
      <c r="K211" s="2" t="s">
        <v>38</v>
      </c>
      <c r="L211" s="1">
        <v>46004</v>
      </c>
      <c r="M211" s="2" t="s">
        <v>29</v>
      </c>
      <c r="N211">
        <v>72</v>
      </c>
      <c r="O211" t="s">
        <v>446</v>
      </c>
      <c r="P211">
        <v>748.06</v>
      </c>
      <c r="Q211">
        <v>1224.06</v>
      </c>
      <c r="R211">
        <v>36284.379999999997</v>
      </c>
      <c r="S211">
        <v>36584.379999999997</v>
      </c>
      <c r="T211">
        <v>-300</v>
      </c>
      <c r="U211" s="2" t="s">
        <v>29</v>
      </c>
      <c r="V211" s="4"/>
      <c r="W211">
        <v>0</v>
      </c>
      <c r="X211" s="1"/>
      <c r="Y211">
        <v>0</v>
      </c>
      <c r="Z211">
        <v>12</v>
      </c>
      <c r="AA211">
        <v>2025</v>
      </c>
      <c r="AB211" t="s">
        <v>461</v>
      </c>
      <c r="AC211" s="2" t="s">
        <v>46</v>
      </c>
    </row>
    <row r="212" spans="1:29" x14ac:dyDescent="0.25">
      <c r="A212" s="1">
        <v>46002</v>
      </c>
      <c r="B212" s="1"/>
      <c r="C212" s="2" t="s">
        <v>40</v>
      </c>
      <c r="D212" s="2" t="s">
        <v>28</v>
      </c>
      <c r="E212" s="3" t="s">
        <v>138</v>
      </c>
      <c r="F212" s="2" t="s">
        <v>151</v>
      </c>
      <c r="G212" s="2" t="s">
        <v>406</v>
      </c>
      <c r="H212" s="2" t="s">
        <v>37</v>
      </c>
      <c r="I212" s="2" t="s">
        <v>31</v>
      </c>
      <c r="J212" s="2" t="s">
        <v>29</v>
      </c>
      <c r="K212" s="2" t="s">
        <v>38</v>
      </c>
      <c r="L212" s="1">
        <v>46005</v>
      </c>
      <c r="M212" s="2" t="s">
        <v>29</v>
      </c>
      <c r="N212">
        <v>37</v>
      </c>
      <c r="O212" t="s">
        <v>448</v>
      </c>
      <c r="P212">
        <v>1219.3699999999999</v>
      </c>
      <c r="Q212">
        <v>1224.06</v>
      </c>
      <c r="R212">
        <v>36284.379999999997</v>
      </c>
      <c r="S212">
        <v>0</v>
      </c>
      <c r="T212">
        <v>36284.379999999997</v>
      </c>
      <c r="U212" s="2" t="s">
        <v>29</v>
      </c>
      <c r="V212" s="4"/>
      <c r="W212">
        <v>0</v>
      </c>
      <c r="X212" s="1"/>
      <c r="Y212">
        <v>0</v>
      </c>
      <c r="Z212">
        <v>12</v>
      </c>
      <c r="AA212">
        <v>2025</v>
      </c>
      <c r="AB212" t="s">
        <v>461</v>
      </c>
      <c r="AC212" s="2" t="s">
        <v>39</v>
      </c>
    </row>
    <row r="213" spans="1:29" x14ac:dyDescent="0.25">
      <c r="A213" s="1">
        <v>46004</v>
      </c>
      <c r="B213" s="1"/>
      <c r="C213" s="2" t="s">
        <v>40</v>
      </c>
      <c r="D213" s="2" t="s">
        <v>28</v>
      </c>
      <c r="E213" s="3" t="s">
        <v>111</v>
      </c>
      <c r="F213" s="2" t="s">
        <v>152</v>
      </c>
      <c r="G213" s="2" t="s">
        <v>407</v>
      </c>
      <c r="H213" s="2" t="s">
        <v>30</v>
      </c>
      <c r="I213" s="2" t="s">
        <v>31</v>
      </c>
      <c r="J213" s="2" t="s">
        <v>29</v>
      </c>
      <c r="K213" s="2" t="s">
        <v>38</v>
      </c>
      <c r="L213" s="1">
        <v>46007</v>
      </c>
      <c r="M213" s="2" t="s">
        <v>29</v>
      </c>
      <c r="N213">
        <v>84</v>
      </c>
      <c r="O213" t="s">
        <v>446</v>
      </c>
      <c r="P213">
        <v>0</v>
      </c>
      <c r="Q213">
        <v>476</v>
      </c>
      <c r="R213">
        <v>18269.419999999998</v>
      </c>
      <c r="S213">
        <v>0</v>
      </c>
      <c r="T213">
        <v>18269.419999999998</v>
      </c>
      <c r="U213" s="2" t="s">
        <v>29</v>
      </c>
      <c r="V213" s="4"/>
      <c r="W213">
        <v>0</v>
      </c>
      <c r="X213" s="1"/>
      <c r="Y213">
        <v>0</v>
      </c>
      <c r="Z213">
        <v>12</v>
      </c>
      <c r="AA213">
        <v>2025</v>
      </c>
      <c r="AB213" t="s">
        <v>461</v>
      </c>
      <c r="AC213" s="2" t="s">
        <v>33</v>
      </c>
    </row>
    <row r="214" spans="1:29" x14ac:dyDescent="0.25">
      <c r="A214" s="1">
        <v>46006</v>
      </c>
      <c r="B214" s="1"/>
      <c r="C214" s="2" t="s">
        <v>27</v>
      </c>
      <c r="D214" s="2" t="s">
        <v>28</v>
      </c>
      <c r="E214" s="3" t="s">
        <v>81</v>
      </c>
      <c r="F214" s="2" t="s">
        <v>159</v>
      </c>
      <c r="G214" s="2" t="s">
        <v>408</v>
      </c>
      <c r="H214" s="2" t="s">
        <v>58</v>
      </c>
      <c r="I214" s="2" t="s">
        <v>47</v>
      </c>
      <c r="J214" s="2" t="s">
        <v>29</v>
      </c>
      <c r="K214" s="2" t="s">
        <v>38</v>
      </c>
      <c r="L214" s="1">
        <v>46009</v>
      </c>
      <c r="M214" s="2" t="s">
        <v>29</v>
      </c>
      <c r="N214">
        <v>84</v>
      </c>
      <c r="O214" t="s">
        <v>446</v>
      </c>
      <c r="P214">
        <v>0</v>
      </c>
      <c r="Q214">
        <v>66.69</v>
      </c>
      <c r="R214">
        <v>2722.77</v>
      </c>
      <c r="S214">
        <v>0</v>
      </c>
      <c r="T214">
        <v>2722.77</v>
      </c>
      <c r="U214" s="2" t="s">
        <v>29</v>
      </c>
      <c r="V214" s="4"/>
      <c r="W214">
        <v>0</v>
      </c>
      <c r="X214" s="1"/>
      <c r="Y214">
        <v>0</v>
      </c>
      <c r="Z214">
        <v>12</v>
      </c>
      <c r="AA214">
        <v>2025</v>
      </c>
      <c r="AB214" t="s">
        <v>461</v>
      </c>
      <c r="AC214" s="2" t="s">
        <v>58</v>
      </c>
    </row>
    <row r="215" spans="1:29" x14ac:dyDescent="0.25">
      <c r="A215" s="1">
        <v>46007</v>
      </c>
      <c r="B215" s="1"/>
      <c r="C215" s="2" t="s">
        <v>40</v>
      </c>
      <c r="D215" s="2" t="s">
        <v>28</v>
      </c>
      <c r="E215" s="3" t="s">
        <v>78</v>
      </c>
      <c r="F215" s="2" t="s">
        <v>156</v>
      </c>
      <c r="G215" s="2" t="s">
        <v>409</v>
      </c>
      <c r="H215" s="2" t="s">
        <v>65</v>
      </c>
      <c r="I215" s="2" t="s">
        <v>63</v>
      </c>
      <c r="J215" s="2" t="s">
        <v>29</v>
      </c>
      <c r="K215" s="2" t="s">
        <v>55</v>
      </c>
      <c r="L215" s="1">
        <v>46010</v>
      </c>
      <c r="M215" s="2" t="s">
        <v>29</v>
      </c>
      <c r="N215">
        <v>84</v>
      </c>
      <c r="O215" t="s">
        <v>446</v>
      </c>
      <c r="P215">
        <v>0</v>
      </c>
      <c r="Q215">
        <v>89.4</v>
      </c>
      <c r="R215">
        <v>3682.04</v>
      </c>
      <c r="S215">
        <v>0</v>
      </c>
      <c r="T215">
        <v>3682.04</v>
      </c>
      <c r="U215" s="2" t="s">
        <v>29</v>
      </c>
      <c r="V215" s="4"/>
      <c r="W215">
        <v>0</v>
      </c>
      <c r="X215" s="1"/>
      <c r="Y215">
        <v>0</v>
      </c>
      <c r="Z215">
        <v>12</v>
      </c>
      <c r="AA215">
        <v>2025</v>
      </c>
      <c r="AB215" t="s">
        <v>461</v>
      </c>
      <c r="AC215" s="2" t="s">
        <v>65</v>
      </c>
    </row>
    <row r="216" spans="1:29" x14ac:dyDescent="0.25">
      <c r="A216" s="1">
        <v>46009</v>
      </c>
      <c r="B216" s="1"/>
      <c r="C216" s="2" t="s">
        <v>27</v>
      </c>
      <c r="D216" s="2" t="s">
        <v>28</v>
      </c>
      <c r="E216" s="3" t="s">
        <v>114</v>
      </c>
      <c r="F216" s="2" t="s">
        <v>155</v>
      </c>
      <c r="G216" s="2" t="s">
        <v>410</v>
      </c>
      <c r="H216" s="2" t="s">
        <v>58</v>
      </c>
      <c r="I216" s="2" t="s">
        <v>47</v>
      </c>
      <c r="J216" s="2" t="s">
        <v>29</v>
      </c>
      <c r="K216" s="2" t="s">
        <v>62</v>
      </c>
      <c r="L216" s="1">
        <v>46012</v>
      </c>
      <c r="M216" s="2" t="s">
        <v>29</v>
      </c>
      <c r="N216">
        <v>84</v>
      </c>
      <c r="O216" t="s">
        <v>446</v>
      </c>
      <c r="P216">
        <v>0</v>
      </c>
      <c r="Q216">
        <v>89.51</v>
      </c>
      <c r="R216">
        <v>3654.45</v>
      </c>
      <c r="S216">
        <v>0</v>
      </c>
      <c r="T216">
        <v>3654.45</v>
      </c>
      <c r="U216" s="2" t="s">
        <v>29</v>
      </c>
      <c r="V216" s="4"/>
      <c r="W216">
        <v>0</v>
      </c>
      <c r="X216" s="1"/>
      <c r="Y216">
        <v>0</v>
      </c>
      <c r="Z216">
        <v>12</v>
      </c>
      <c r="AA216">
        <v>2025</v>
      </c>
      <c r="AB216" t="s">
        <v>461</v>
      </c>
      <c r="AC216" s="2" t="s">
        <v>58</v>
      </c>
    </row>
    <row r="217" spans="1:29" x14ac:dyDescent="0.25">
      <c r="A217" s="1">
        <v>46011</v>
      </c>
      <c r="B217" s="1"/>
      <c r="C217" s="2" t="s">
        <v>27</v>
      </c>
      <c r="D217" s="2" t="s">
        <v>28</v>
      </c>
      <c r="E217" s="3" t="s">
        <v>115</v>
      </c>
      <c r="F217" s="2" t="s">
        <v>156</v>
      </c>
      <c r="G217" s="2" t="s">
        <v>411</v>
      </c>
      <c r="H217" s="2" t="s">
        <v>50</v>
      </c>
      <c r="I217" s="2" t="s">
        <v>51</v>
      </c>
      <c r="J217" s="2" t="s">
        <v>29</v>
      </c>
      <c r="K217" s="2" t="s">
        <v>62</v>
      </c>
      <c r="L217" s="1">
        <v>46014</v>
      </c>
      <c r="M217" s="2" t="s">
        <v>29</v>
      </c>
      <c r="N217">
        <v>84</v>
      </c>
      <c r="O217" t="s">
        <v>446</v>
      </c>
      <c r="P217">
        <v>0</v>
      </c>
      <c r="Q217">
        <v>0</v>
      </c>
      <c r="R217">
        <v>333.24</v>
      </c>
      <c r="S217">
        <v>0</v>
      </c>
      <c r="T217">
        <v>333.24</v>
      </c>
      <c r="U217" s="2" t="s">
        <v>29</v>
      </c>
      <c r="V217" s="4"/>
      <c r="W217">
        <v>0</v>
      </c>
      <c r="X217" s="1"/>
      <c r="Y217">
        <v>0</v>
      </c>
      <c r="Z217">
        <v>12</v>
      </c>
      <c r="AA217">
        <v>2025</v>
      </c>
      <c r="AB217" t="s">
        <v>461</v>
      </c>
      <c r="AC217" s="2" t="s">
        <v>50</v>
      </c>
    </row>
    <row r="218" spans="1:29" x14ac:dyDescent="0.25">
      <c r="A218" s="1">
        <v>46012</v>
      </c>
      <c r="B218" s="1"/>
      <c r="C218" s="2" t="s">
        <v>40</v>
      </c>
      <c r="D218" s="2" t="s">
        <v>28</v>
      </c>
      <c r="E218" s="3" t="s">
        <v>462</v>
      </c>
      <c r="F218" s="2" t="s">
        <v>463</v>
      </c>
      <c r="G218" s="2" t="s">
        <v>464</v>
      </c>
      <c r="H218" s="2" t="s">
        <v>45</v>
      </c>
      <c r="I218" s="2" t="s">
        <v>31</v>
      </c>
      <c r="J218" s="2" t="s">
        <v>29</v>
      </c>
      <c r="K218" s="2" t="s">
        <v>38</v>
      </c>
      <c r="L218" s="1">
        <v>46015</v>
      </c>
      <c r="M218" s="2" t="s">
        <v>29</v>
      </c>
      <c r="N218">
        <v>0</v>
      </c>
      <c r="O218" t="s">
        <v>447</v>
      </c>
      <c r="P218">
        <v>226.18</v>
      </c>
      <c r="Q218">
        <v>584.02</v>
      </c>
      <c r="R218">
        <v>12700</v>
      </c>
      <c r="S218">
        <v>12600</v>
      </c>
      <c r="T218">
        <v>100</v>
      </c>
      <c r="U218" s="2" t="s">
        <v>29</v>
      </c>
      <c r="V218" s="4"/>
      <c r="W218">
        <v>0</v>
      </c>
      <c r="X218" s="1"/>
      <c r="Y218">
        <v>0</v>
      </c>
      <c r="Z218">
        <v>12</v>
      </c>
      <c r="AA218">
        <v>2025</v>
      </c>
      <c r="AB218" t="s">
        <v>461</v>
      </c>
      <c r="AC218" s="2" t="s">
        <v>46</v>
      </c>
    </row>
    <row r="219" spans="1:29" x14ac:dyDescent="0.25">
      <c r="A219" s="1">
        <v>46014</v>
      </c>
      <c r="B219" s="1"/>
      <c r="C219" s="2" t="s">
        <v>40</v>
      </c>
      <c r="D219" s="2" t="s">
        <v>28</v>
      </c>
      <c r="E219" s="3" t="s">
        <v>465</v>
      </c>
      <c r="F219" s="2" t="s">
        <v>466</v>
      </c>
      <c r="G219" s="2" t="s">
        <v>467</v>
      </c>
      <c r="H219" s="2" t="s">
        <v>37</v>
      </c>
      <c r="I219" s="2" t="s">
        <v>31</v>
      </c>
      <c r="J219" s="2" t="s">
        <v>29</v>
      </c>
      <c r="K219" s="2" t="s">
        <v>38</v>
      </c>
      <c r="L219" s="1">
        <v>46017</v>
      </c>
      <c r="M219" s="2" t="s">
        <v>29</v>
      </c>
      <c r="N219">
        <v>0</v>
      </c>
      <c r="O219" t="s">
        <v>447</v>
      </c>
      <c r="P219">
        <v>584.02</v>
      </c>
      <c r="Q219">
        <v>584.02</v>
      </c>
      <c r="R219">
        <v>12600</v>
      </c>
      <c r="S219">
        <v>0</v>
      </c>
      <c r="T219">
        <v>12600</v>
      </c>
      <c r="U219" s="2" t="s">
        <v>29</v>
      </c>
      <c r="V219" s="4"/>
      <c r="W219">
        <v>0</v>
      </c>
      <c r="X219" s="1"/>
      <c r="Y219">
        <v>0</v>
      </c>
      <c r="Z219">
        <v>12</v>
      </c>
      <c r="AA219">
        <v>2025</v>
      </c>
      <c r="AB219" t="s">
        <v>461</v>
      </c>
      <c r="AC219" s="2" t="s">
        <v>39</v>
      </c>
    </row>
    <row r="220" spans="1:29" x14ac:dyDescent="0.25">
      <c r="A220" s="1">
        <v>46016</v>
      </c>
      <c r="B220" s="1"/>
      <c r="C220" s="2" t="s">
        <v>40</v>
      </c>
      <c r="D220" s="2" t="s">
        <v>28</v>
      </c>
      <c r="E220" s="3" t="s">
        <v>468</v>
      </c>
      <c r="F220" s="2" t="s">
        <v>469</v>
      </c>
      <c r="G220" s="2" t="s">
        <v>470</v>
      </c>
      <c r="H220" s="2" t="s">
        <v>66</v>
      </c>
      <c r="I220" s="2" t="s">
        <v>31</v>
      </c>
      <c r="J220" s="2" t="s">
        <v>29</v>
      </c>
      <c r="K220" s="2" t="s">
        <v>38</v>
      </c>
      <c r="L220" s="1">
        <v>46019</v>
      </c>
      <c r="M220" s="2" t="s">
        <v>29</v>
      </c>
      <c r="N220">
        <v>84</v>
      </c>
      <c r="O220" t="s">
        <v>446</v>
      </c>
      <c r="P220">
        <v>0</v>
      </c>
      <c r="Q220">
        <v>39.74</v>
      </c>
      <c r="R220">
        <v>1718.97</v>
      </c>
      <c r="S220">
        <v>701.87</v>
      </c>
      <c r="T220">
        <v>1017.1</v>
      </c>
      <c r="U220" s="2" t="s">
        <v>29</v>
      </c>
      <c r="V220" s="4"/>
      <c r="W220">
        <v>0</v>
      </c>
      <c r="X220" s="1"/>
      <c r="Y220">
        <v>0</v>
      </c>
      <c r="Z220">
        <v>12</v>
      </c>
      <c r="AA220">
        <v>2025</v>
      </c>
      <c r="AB220" t="s">
        <v>461</v>
      </c>
      <c r="AC220" s="2" t="s">
        <v>66</v>
      </c>
    </row>
    <row r="221" spans="1:29" x14ac:dyDescent="0.25">
      <c r="A221" s="1">
        <v>46017</v>
      </c>
      <c r="B221" s="1"/>
      <c r="C221" s="2" t="s">
        <v>40</v>
      </c>
      <c r="D221" s="2" t="s">
        <v>28</v>
      </c>
      <c r="E221" s="3" t="s">
        <v>471</v>
      </c>
      <c r="F221" s="2" t="s">
        <v>472</v>
      </c>
      <c r="G221" s="2" t="s">
        <v>473</v>
      </c>
      <c r="H221" s="2" t="s">
        <v>30</v>
      </c>
      <c r="I221" s="2" t="s">
        <v>31</v>
      </c>
      <c r="J221" s="2" t="s">
        <v>29</v>
      </c>
      <c r="K221" s="2" t="s">
        <v>38</v>
      </c>
      <c r="L221" s="1">
        <v>46020</v>
      </c>
      <c r="M221" s="2" t="s">
        <v>29</v>
      </c>
      <c r="N221">
        <v>84</v>
      </c>
      <c r="O221" t="s">
        <v>446</v>
      </c>
      <c r="P221">
        <v>0</v>
      </c>
      <c r="Q221">
        <v>57.84</v>
      </c>
      <c r="R221">
        <v>0</v>
      </c>
      <c r="S221">
        <v>0</v>
      </c>
      <c r="T221">
        <v>0</v>
      </c>
      <c r="U221" s="2" t="s">
        <v>29</v>
      </c>
      <c r="V221" s="4"/>
      <c r="W221">
        <v>0</v>
      </c>
      <c r="X221" s="1"/>
      <c r="Y221">
        <v>0</v>
      </c>
      <c r="Z221">
        <v>12</v>
      </c>
      <c r="AA221">
        <v>2025</v>
      </c>
      <c r="AB221" t="s">
        <v>461</v>
      </c>
      <c r="AC221" s="2" t="s">
        <v>33</v>
      </c>
    </row>
    <row r="222" spans="1:29" x14ac:dyDescent="0.25">
      <c r="A222" s="1">
        <v>46019</v>
      </c>
      <c r="B222" s="1"/>
      <c r="C222" s="2" t="s">
        <v>27</v>
      </c>
      <c r="D222" s="2" t="s">
        <v>28</v>
      </c>
      <c r="E222" s="3" t="s">
        <v>474</v>
      </c>
      <c r="F222" s="2" t="s">
        <v>475</v>
      </c>
      <c r="G222" s="2" t="s">
        <v>476</v>
      </c>
      <c r="H222" s="2" t="s">
        <v>58</v>
      </c>
      <c r="I222" s="2" t="s">
        <v>47</v>
      </c>
      <c r="J222" s="2" t="s">
        <v>29</v>
      </c>
      <c r="K222" s="2" t="s">
        <v>55</v>
      </c>
      <c r="L222" s="1">
        <v>46022</v>
      </c>
      <c r="M222" s="2" t="s">
        <v>29</v>
      </c>
      <c r="N222">
        <v>0</v>
      </c>
      <c r="O222" t="s">
        <v>447</v>
      </c>
      <c r="P222">
        <v>0</v>
      </c>
      <c r="Q222">
        <v>0</v>
      </c>
      <c r="R222">
        <v>15000</v>
      </c>
      <c r="S222">
        <v>0</v>
      </c>
      <c r="T222">
        <v>15000</v>
      </c>
      <c r="U222" s="2" t="s">
        <v>29</v>
      </c>
      <c r="V222" s="4"/>
      <c r="W222">
        <v>0</v>
      </c>
      <c r="X222" s="1"/>
      <c r="Y222">
        <v>0</v>
      </c>
      <c r="Z222">
        <v>12</v>
      </c>
      <c r="AA222">
        <v>2025</v>
      </c>
      <c r="AB222" t="s">
        <v>461</v>
      </c>
      <c r="AC222" s="2" t="s">
        <v>58</v>
      </c>
    </row>
    <row r="223" spans="1:29" x14ac:dyDescent="0.25">
      <c r="A223" s="1">
        <v>46021</v>
      </c>
      <c r="B223" s="1"/>
      <c r="C223" s="2" t="s">
        <v>67</v>
      </c>
      <c r="D223" s="2" t="s">
        <v>28</v>
      </c>
      <c r="E223" s="3" t="s">
        <v>477</v>
      </c>
      <c r="F223" s="2" t="s">
        <v>478</v>
      </c>
      <c r="G223" s="2" t="s">
        <v>479</v>
      </c>
      <c r="H223" s="2" t="s">
        <v>58</v>
      </c>
      <c r="I223" s="2" t="s">
        <v>47</v>
      </c>
      <c r="J223" s="2" t="s">
        <v>29</v>
      </c>
      <c r="K223" s="2" t="s">
        <v>55</v>
      </c>
      <c r="L223" s="1">
        <v>46024</v>
      </c>
      <c r="M223" s="2" t="s">
        <v>29</v>
      </c>
      <c r="N223">
        <v>0</v>
      </c>
      <c r="O223" t="s">
        <v>447</v>
      </c>
      <c r="P223">
        <v>0</v>
      </c>
      <c r="Q223">
        <v>0</v>
      </c>
      <c r="R223">
        <v>15000</v>
      </c>
      <c r="S223">
        <v>0</v>
      </c>
      <c r="T223">
        <v>15000</v>
      </c>
      <c r="U223" s="2" t="s">
        <v>29</v>
      </c>
      <c r="V223" s="4"/>
      <c r="W223">
        <v>0</v>
      </c>
      <c r="X223" s="1"/>
      <c r="Y223">
        <v>0</v>
      </c>
      <c r="Z223">
        <v>12</v>
      </c>
      <c r="AA223">
        <v>2025</v>
      </c>
      <c r="AB223" t="s">
        <v>461</v>
      </c>
      <c r="AC223" s="2" t="s">
        <v>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BB15-A9C5-466A-B0B9-ED0040EC5EC9}">
  <dimension ref="A1:E223"/>
  <sheetViews>
    <sheetView workbookViewId="0">
      <selection activeCell="D17" sqref="D17"/>
    </sheetView>
  </sheetViews>
  <sheetFormatPr defaultRowHeight="15" x14ac:dyDescent="0.25"/>
  <cols>
    <col min="1" max="1" width="10.7109375" bestFit="1" customWidth="1"/>
    <col min="2" max="2" width="6.85546875" bestFit="1" customWidth="1"/>
    <col min="3" max="3" width="7.140625" bestFit="1" customWidth="1"/>
    <col min="4" max="4" width="17.7109375" bestFit="1" customWidth="1"/>
    <col min="5" max="5" width="15.85546875" bestFit="1" customWidth="1"/>
  </cols>
  <sheetData>
    <row r="1" spans="1:5" x14ac:dyDescent="0.25">
      <c r="A1" t="s">
        <v>424</v>
      </c>
      <c r="B1" t="s">
        <v>25</v>
      </c>
      <c r="C1" t="s">
        <v>24</v>
      </c>
      <c r="D1" t="s">
        <v>425</v>
      </c>
      <c r="E1" t="s">
        <v>426</v>
      </c>
    </row>
    <row r="2" spans="1:5" x14ac:dyDescent="0.25">
      <c r="A2" s="1">
        <v>45658</v>
      </c>
      <c r="B2">
        <v>2025</v>
      </c>
      <c r="C2">
        <v>1</v>
      </c>
      <c r="D2">
        <v>1</v>
      </c>
      <c r="E2" s="2" t="s">
        <v>427</v>
      </c>
    </row>
    <row r="3" spans="1:5" x14ac:dyDescent="0.25">
      <c r="A3" s="1">
        <v>45659</v>
      </c>
      <c r="B3">
        <v>2025</v>
      </c>
      <c r="C3">
        <v>1</v>
      </c>
      <c r="D3">
        <v>1</v>
      </c>
      <c r="E3" s="2" t="s">
        <v>427</v>
      </c>
    </row>
    <row r="4" spans="1:5" x14ac:dyDescent="0.25">
      <c r="A4" s="1">
        <v>45661</v>
      </c>
      <c r="B4">
        <v>2025</v>
      </c>
      <c r="C4">
        <v>1</v>
      </c>
      <c r="D4">
        <v>1</v>
      </c>
      <c r="E4" s="2" t="s">
        <v>427</v>
      </c>
    </row>
    <row r="5" spans="1:5" x14ac:dyDescent="0.25">
      <c r="A5" s="1">
        <v>45663</v>
      </c>
      <c r="B5">
        <v>2025</v>
      </c>
      <c r="C5">
        <v>1</v>
      </c>
      <c r="D5">
        <v>1</v>
      </c>
      <c r="E5" s="2" t="s">
        <v>427</v>
      </c>
    </row>
    <row r="6" spans="1:5" x14ac:dyDescent="0.25">
      <c r="A6" s="1">
        <v>45664</v>
      </c>
      <c r="B6">
        <v>2025</v>
      </c>
      <c r="C6">
        <v>1</v>
      </c>
      <c r="D6">
        <v>1</v>
      </c>
      <c r="E6" s="2" t="s">
        <v>427</v>
      </c>
    </row>
    <row r="7" spans="1:5" x14ac:dyDescent="0.25">
      <c r="A7" s="1">
        <v>45666</v>
      </c>
      <c r="B7">
        <v>2025</v>
      </c>
      <c r="C7">
        <v>1</v>
      </c>
      <c r="D7">
        <v>1</v>
      </c>
      <c r="E7" s="2" t="s">
        <v>427</v>
      </c>
    </row>
    <row r="8" spans="1:5" x14ac:dyDescent="0.25">
      <c r="A8" s="1">
        <v>45668</v>
      </c>
      <c r="B8">
        <v>2025</v>
      </c>
      <c r="C8">
        <v>1</v>
      </c>
      <c r="D8">
        <v>1</v>
      </c>
      <c r="E8" s="2" t="s">
        <v>427</v>
      </c>
    </row>
    <row r="9" spans="1:5" x14ac:dyDescent="0.25">
      <c r="A9" s="1">
        <v>45669</v>
      </c>
      <c r="B9">
        <v>2025</v>
      </c>
      <c r="C9">
        <v>1</v>
      </c>
      <c r="D9">
        <v>1</v>
      </c>
      <c r="E9" s="2" t="s">
        <v>427</v>
      </c>
    </row>
    <row r="10" spans="1:5" x14ac:dyDescent="0.25">
      <c r="A10" s="1">
        <v>45671</v>
      </c>
      <c r="B10">
        <v>2025</v>
      </c>
      <c r="C10">
        <v>1</v>
      </c>
      <c r="D10">
        <v>1</v>
      </c>
      <c r="E10" s="2" t="s">
        <v>427</v>
      </c>
    </row>
    <row r="11" spans="1:5" x14ac:dyDescent="0.25">
      <c r="A11" s="1">
        <v>45673</v>
      </c>
      <c r="B11">
        <v>2025</v>
      </c>
      <c r="C11">
        <v>1</v>
      </c>
      <c r="D11">
        <v>1</v>
      </c>
      <c r="E11" s="2" t="s">
        <v>427</v>
      </c>
    </row>
    <row r="12" spans="1:5" x14ac:dyDescent="0.25">
      <c r="A12" s="1">
        <v>45674</v>
      </c>
      <c r="B12">
        <v>2025</v>
      </c>
      <c r="C12">
        <v>1</v>
      </c>
      <c r="D12">
        <v>1</v>
      </c>
      <c r="E12" s="2" t="s">
        <v>427</v>
      </c>
    </row>
    <row r="13" spans="1:5" x14ac:dyDescent="0.25">
      <c r="A13" s="1">
        <v>45676</v>
      </c>
      <c r="B13">
        <v>2025</v>
      </c>
      <c r="C13">
        <v>1</v>
      </c>
      <c r="D13">
        <v>1</v>
      </c>
      <c r="E13" s="2" t="s">
        <v>427</v>
      </c>
    </row>
    <row r="14" spans="1:5" x14ac:dyDescent="0.25">
      <c r="A14" s="1">
        <v>45678</v>
      </c>
      <c r="B14">
        <v>2025</v>
      </c>
      <c r="C14">
        <v>1</v>
      </c>
      <c r="D14">
        <v>1</v>
      </c>
      <c r="E14" s="2" t="s">
        <v>427</v>
      </c>
    </row>
    <row r="15" spans="1:5" x14ac:dyDescent="0.25">
      <c r="A15" s="1">
        <v>45679</v>
      </c>
      <c r="B15">
        <v>2025</v>
      </c>
      <c r="C15">
        <v>1</v>
      </c>
      <c r="D15">
        <v>1</v>
      </c>
      <c r="E15" s="2" t="s">
        <v>427</v>
      </c>
    </row>
    <row r="16" spans="1:5" x14ac:dyDescent="0.25">
      <c r="A16" s="1">
        <v>45681</v>
      </c>
      <c r="B16">
        <v>2025</v>
      </c>
      <c r="C16">
        <v>1</v>
      </c>
      <c r="D16">
        <v>1</v>
      </c>
      <c r="E16" s="2" t="s">
        <v>427</v>
      </c>
    </row>
    <row r="17" spans="1:5" x14ac:dyDescent="0.25">
      <c r="A17" s="1">
        <v>45683</v>
      </c>
      <c r="B17">
        <v>2025</v>
      </c>
      <c r="C17">
        <v>1</v>
      </c>
      <c r="D17">
        <v>1</v>
      </c>
      <c r="E17" s="2" t="s">
        <v>427</v>
      </c>
    </row>
    <row r="18" spans="1:5" x14ac:dyDescent="0.25">
      <c r="A18" s="1">
        <v>45684</v>
      </c>
      <c r="B18">
        <v>2025</v>
      </c>
      <c r="C18">
        <v>1</v>
      </c>
      <c r="D18">
        <v>1</v>
      </c>
      <c r="E18" s="2" t="s">
        <v>427</v>
      </c>
    </row>
    <row r="19" spans="1:5" x14ac:dyDescent="0.25">
      <c r="A19" s="1">
        <v>45686</v>
      </c>
      <c r="B19">
        <v>2025</v>
      </c>
      <c r="C19">
        <v>1</v>
      </c>
      <c r="D19">
        <v>1</v>
      </c>
      <c r="E19" s="2" t="s">
        <v>427</v>
      </c>
    </row>
    <row r="20" spans="1:5" x14ac:dyDescent="0.25">
      <c r="A20" s="1">
        <v>45688</v>
      </c>
      <c r="B20">
        <v>2025</v>
      </c>
      <c r="C20">
        <v>1</v>
      </c>
      <c r="D20">
        <v>1</v>
      </c>
      <c r="E20" s="2" t="s">
        <v>427</v>
      </c>
    </row>
    <row r="21" spans="1:5" x14ac:dyDescent="0.25">
      <c r="A21" s="1">
        <v>45689</v>
      </c>
      <c r="B21">
        <v>2025</v>
      </c>
      <c r="C21">
        <v>2</v>
      </c>
      <c r="D21">
        <v>2</v>
      </c>
      <c r="E21" s="2" t="s">
        <v>429</v>
      </c>
    </row>
    <row r="22" spans="1:5" x14ac:dyDescent="0.25">
      <c r="A22" s="1">
        <v>45691</v>
      </c>
      <c r="B22">
        <v>2025</v>
      </c>
      <c r="C22">
        <v>2</v>
      </c>
      <c r="D22">
        <v>2</v>
      </c>
      <c r="E22" s="2" t="s">
        <v>429</v>
      </c>
    </row>
    <row r="23" spans="1:5" x14ac:dyDescent="0.25">
      <c r="A23" s="1">
        <v>45692</v>
      </c>
      <c r="B23">
        <v>2025</v>
      </c>
      <c r="C23">
        <v>2</v>
      </c>
      <c r="D23">
        <v>2</v>
      </c>
      <c r="E23" s="2" t="s">
        <v>429</v>
      </c>
    </row>
    <row r="24" spans="1:5" x14ac:dyDescent="0.25">
      <c r="A24" s="1">
        <v>45694</v>
      </c>
      <c r="B24">
        <v>2025</v>
      </c>
      <c r="C24">
        <v>2</v>
      </c>
      <c r="D24">
        <v>2</v>
      </c>
      <c r="E24" s="2" t="s">
        <v>429</v>
      </c>
    </row>
    <row r="25" spans="1:5" x14ac:dyDescent="0.25">
      <c r="A25" s="1">
        <v>45695</v>
      </c>
      <c r="B25">
        <v>2025</v>
      </c>
      <c r="C25">
        <v>2</v>
      </c>
      <c r="D25">
        <v>2</v>
      </c>
      <c r="E25" s="2" t="s">
        <v>429</v>
      </c>
    </row>
    <row r="26" spans="1:5" x14ac:dyDescent="0.25">
      <c r="A26" s="1">
        <v>45697</v>
      </c>
      <c r="B26">
        <v>2025</v>
      </c>
      <c r="C26">
        <v>2</v>
      </c>
      <c r="D26">
        <v>2</v>
      </c>
      <c r="E26" s="2" t="s">
        <v>429</v>
      </c>
    </row>
    <row r="27" spans="1:5" x14ac:dyDescent="0.25">
      <c r="A27" s="1">
        <v>45698</v>
      </c>
      <c r="B27">
        <v>2025</v>
      </c>
      <c r="C27">
        <v>2</v>
      </c>
      <c r="D27">
        <v>2</v>
      </c>
      <c r="E27" s="2" t="s">
        <v>429</v>
      </c>
    </row>
    <row r="28" spans="1:5" x14ac:dyDescent="0.25">
      <c r="A28" s="1">
        <v>45700</v>
      </c>
      <c r="B28">
        <v>2025</v>
      </c>
      <c r="C28">
        <v>2</v>
      </c>
      <c r="D28">
        <v>2</v>
      </c>
      <c r="E28" s="2" t="s">
        <v>429</v>
      </c>
    </row>
    <row r="29" spans="1:5" x14ac:dyDescent="0.25">
      <c r="A29" s="1">
        <v>45701</v>
      </c>
      <c r="B29">
        <v>2025</v>
      </c>
      <c r="C29">
        <v>2</v>
      </c>
      <c r="D29">
        <v>2</v>
      </c>
      <c r="E29" s="2" t="s">
        <v>429</v>
      </c>
    </row>
    <row r="30" spans="1:5" x14ac:dyDescent="0.25">
      <c r="A30" s="1">
        <v>45703</v>
      </c>
      <c r="B30">
        <v>2025</v>
      </c>
      <c r="C30">
        <v>2</v>
      </c>
      <c r="D30">
        <v>2</v>
      </c>
      <c r="E30" s="2" t="s">
        <v>429</v>
      </c>
    </row>
    <row r="31" spans="1:5" x14ac:dyDescent="0.25">
      <c r="A31" s="1">
        <v>45704</v>
      </c>
      <c r="B31">
        <v>2025</v>
      </c>
      <c r="C31">
        <v>2</v>
      </c>
      <c r="D31">
        <v>2</v>
      </c>
      <c r="E31" s="2" t="s">
        <v>429</v>
      </c>
    </row>
    <row r="32" spans="1:5" x14ac:dyDescent="0.25">
      <c r="A32" s="1">
        <v>45706</v>
      </c>
      <c r="B32">
        <v>2025</v>
      </c>
      <c r="C32">
        <v>2</v>
      </c>
      <c r="D32">
        <v>2</v>
      </c>
      <c r="E32" s="2" t="s">
        <v>429</v>
      </c>
    </row>
    <row r="33" spans="1:5" x14ac:dyDescent="0.25">
      <c r="A33" s="1">
        <v>45707</v>
      </c>
      <c r="B33">
        <v>2025</v>
      </c>
      <c r="C33">
        <v>2</v>
      </c>
      <c r="D33">
        <v>2</v>
      </c>
      <c r="E33" s="2" t="s">
        <v>429</v>
      </c>
    </row>
    <row r="34" spans="1:5" x14ac:dyDescent="0.25">
      <c r="A34" s="1">
        <v>45709</v>
      </c>
      <c r="B34">
        <v>2025</v>
      </c>
      <c r="C34">
        <v>2</v>
      </c>
      <c r="D34">
        <v>2</v>
      </c>
      <c r="E34" s="2" t="s">
        <v>429</v>
      </c>
    </row>
    <row r="35" spans="1:5" x14ac:dyDescent="0.25">
      <c r="A35" s="1">
        <v>45710</v>
      </c>
      <c r="B35">
        <v>2025</v>
      </c>
      <c r="C35">
        <v>2</v>
      </c>
      <c r="D35">
        <v>2</v>
      </c>
      <c r="E35" s="2" t="s">
        <v>429</v>
      </c>
    </row>
    <row r="36" spans="1:5" x14ac:dyDescent="0.25">
      <c r="A36" s="1">
        <v>45712</v>
      </c>
      <c r="B36">
        <v>2025</v>
      </c>
      <c r="C36">
        <v>2</v>
      </c>
      <c r="D36">
        <v>2</v>
      </c>
      <c r="E36" s="2" t="s">
        <v>429</v>
      </c>
    </row>
    <row r="37" spans="1:5" x14ac:dyDescent="0.25">
      <c r="A37" s="1">
        <v>45713</v>
      </c>
      <c r="B37">
        <v>2025</v>
      </c>
      <c r="C37">
        <v>2</v>
      </c>
      <c r="D37">
        <v>2</v>
      </c>
      <c r="E37" s="2" t="s">
        <v>429</v>
      </c>
    </row>
    <row r="38" spans="1:5" x14ac:dyDescent="0.25">
      <c r="A38" s="1">
        <v>45715</v>
      </c>
      <c r="B38">
        <v>2025</v>
      </c>
      <c r="C38">
        <v>2</v>
      </c>
      <c r="D38">
        <v>2</v>
      </c>
      <c r="E38" s="2" t="s">
        <v>429</v>
      </c>
    </row>
    <row r="39" spans="1:5" x14ac:dyDescent="0.25">
      <c r="A39" s="1">
        <v>45717</v>
      </c>
      <c r="B39">
        <v>2025</v>
      </c>
      <c r="C39">
        <v>3</v>
      </c>
      <c r="D39">
        <v>3</v>
      </c>
      <c r="E39" s="2" t="s">
        <v>428</v>
      </c>
    </row>
    <row r="40" spans="1:5" x14ac:dyDescent="0.25">
      <c r="A40" s="1">
        <v>45718</v>
      </c>
      <c r="B40">
        <v>2025</v>
      </c>
      <c r="C40">
        <v>3</v>
      </c>
      <c r="D40">
        <v>3</v>
      </c>
      <c r="E40" s="2" t="s">
        <v>428</v>
      </c>
    </row>
    <row r="41" spans="1:5" x14ac:dyDescent="0.25">
      <c r="A41" s="1">
        <v>45720</v>
      </c>
      <c r="B41">
        <v>2025</v>
      </c>
      <c r="C41">
        <v>3</v>
      </c>
      <c r="D41">
        <v>3</v>
      </c>
      <c r="E41" s="2" t="s">
        <v>428</v>
      </c>
    </row>
    <row r="42" spans="1:5" x14ac:dyDescent="0.25">
      <c r="A42" s="1">
        <v>45722</v>
      </c>
      <c r="B42">
        <v>2025</v>
      </c>
      <c r="C42">
        <v>3</v>
      </c>
      <c r="D42">
        <v>3</v>
      </c>
      <c r="E42" s="2" t="s">
        <v>428</v>
      </c>
    </row>
    <row r="43" spans="1:5" x14ac:dyDescent="0.25">
      <c r="A43" s="1">
        <v>45723</v>
      </c>
      <c r="B43">
        <v>2025</v>
      </c>
      <c r="C43">
        <v>3</v>
      </c>
      <c r="D43">
        <v>3</v>
      </c>
      <c r="E43" s="2" t="s">
        <v>428</v>
      </c>
    </row>
    <row r="44" spans="1:5" x14ac:dyDescent="0.25">
      <c r="A44" s="1">
        <v>45725</v>
      </c>
      <c r="B44">
        <v>2025</v>
      </c>
      <c r="C44">
        <v>3</v>
      </c>
      <c r="D44">
        <v>3</v>
      </c>
      <c r="E44" s="2" t="s">
        <v>428</v>
      </c>
    </row>
    <row r="45" spans="1:5" x14ac:dyDescent="0.25">
      <c r="A45" s="1">
        <v>45727</v>
      </c>
      <c r="B45">
        <v>2025</v>
      </c>
      <c r="C45">
        <v>3</v>
      </c>
      <c r="D45">
        <v>3</v>
      </c>
      <c r="E45" s="2" t="s">
        <v>428</v>
      </c>
    </row>
    <row r="46" spans="1:5" x14ac:dyDescent="0.25">
      <c r="A46" s="1">
        <v>45728</v>
      </c>
      <c r="B46">
        <v>2025</v>
      </c>
      <c r="C46">
        <v>3</v>
      </c>
      <c r="D46">
        <v>3</v>
      </c>
      <c r="E46" s="2" t="s">
        <v>428</v>
      </c>
    </row>
    <row r="47" spans="1:5" x14ac:dyDescent="0.25">
      <c r="A47" s="1">
        <v>45730</v>
      </c>
      <c r="B47">
        <v>2025</v>
      </c>
      <c r="C47">
        <v>3</v>
      </c>
      <c r="D47">
        <v>3</v>
      </c>
      <c r="E47" s="2" t="s">
        <v>428</v>
      </c>
    </row>
    <row r="48" spans="1:5" x14ac:dyDescent="0.25">
      <c r="A48" s="1">
        <v>45732</v>
      </c>
      <c r="B48">
        <v>2025</v>
      </c>
      <c r="C48">
        <v>3</v>
      </c>
      <c r="D48">
        <v>3</v>
      </c>
      <c r="E48" s="2" t="s">
        <v>428</v>
      </c>
    </row>
    <row r="49" spans="1:5" x14ac:dyDescent="0.25">
      <c r="A49" s="1">
        <v>45733</v>
      </c>
      <c r="B49">
        <v>2025</v>
      </c>
      <c r="C49">
        <v>3</v>
      </c>
      <c r="D49">
        <v>3</v>
      </c>
      <c r="E49" s="2" t="s">
        <v>428</v>
      </c>
    </row>
    <row r="50" spans="1:5" x14ac:dyDescent="0.25">
      <c r="A50" s="1">
        <v>45735</v>
      </c>
      <c r="B50">
        <v>2025</v>
      </c>
      <c r="C50">
        <v>3</v>
      </c>
      <c r="D50">
        <v>3</v>
      </c>
      <c r="E50" s="2" t="s">
        <v>428</v>
      </c>
    </row>
    <row r="51" spans="1:5" x14ac:dyDescent="0.25">
      <c r="A51" s="1">
        <v>45737</v>
      </c>
      <c r="B51">
        <v>2025</v>
      </c>
      <c r="C51">
        <v>3</v>
      </c>
      <c r="D51">
        <v>3</v>
      </c>
      <c r="E51" s="2" t="s">
        <v>428</v>
      </c>
    </row>
    <row r="52" spans="1:5" x14ac:dyDescent="0.25">
      <c r="A52" s="1">
        <v>45738</v>
      </c>
      <c r="B52">
        <v>2025</v>
      </c>
      <c r="C52">
        <v>3</v>
      </c>
      <c r="D52">
        <v>3</v>
      </c>
      <c r="E52" s="2" t="s">
        <v>428</v>
      </c>
    </row>
    <row r="53" spans="1:5" x14ac:dyDescent="0.25">
      <c r="A53" s="1">
        <v>45740</v>
      </c>
      <c r="B53">
        <v>2025</v>
      </c>
      <c r="C53">
        <v>3</v>
      </c>
      <c r="D53">
        <v>3</v>
      </c>
      <c r="E53" s="2" t="s">
        <v>428</v>
      </c>
    </row>
    <row r="54" spans="1:5" x14ac:dyDescent="0.25">
      <c r="A54" s="1">
        <v>45742</v>
      </c>
      <c r="B54">
        <v>2025</v>
      </c>
      <c r="C54">
        <v>3</v>
      </c>
      <c r="D54">
        <v>3</v>
      </c>
      <c r="E54" s="2" t="s">
        <v>428</v>
      </c>
    </row>
    <row r="55" spans="1:5" x14ac:dyDescent="0.25">
      <c r="A55" s="1">
        <v>45743</v>
      </c>
      <c r="B55">
        <v>2025</v>
      </c>
      <c r="C55">
        <v>3</v>
      </c>
      <c r="D55">
        <v>3</v>
      </c>
      <c r="E55" s="2" t="s">
        <v>428</v>
      </c>
    </row>
    <row r="56" spans="1:5" x14ac:dyDescent="0.25">
      <c r="A56" s="1">
        <v>45745</v>
      </c>
      <c r="B56">
        <v>2025</v>
      </c>
      <c r="C56">
        <v>3</v>
      </c>
      <c r="D56">
        <v>3</v>
      </c>
      <c r="E56" s="2" t="s">
        <v>428</v>
      </c>
    </row>
    <row r="57" spans="1:5" x14ac:dyDescent="0.25">
      <c r="A57" s="1">
        <v>45747</v>
      </c>
      <c r="B57">
        <v>2025</v>
      </c>
      <c r="C57">
        <v>3</v>
      </c>
      <c r="D57">
        <v>3</v>
      </c>
      <c r="E57" s="2" t="s">
        <v>428</v>
      </c>
    </row>
    <row r="58" spans="1:5" x14ac:dyDescent="0.25">
      <c r="A58" s="1">
        <v>45748</v>
      </c>
      <c r="B58">
        <v>2025</v>
      </c>
      <c r="C58">
        <v>4</v>
      </c>
      <c r="D58">
        <v>4</v>
      </c>
      <c r="E58" s="2" t="s">
        <v>437</v>
      </c>
    </row>
    <row r="59" spans="1:5" x14ac:dyDescent="0.25">
      <c r="A59" s="1">
        <v>45750</v>
      </c>
      <c r="B59">
        <v>2025</v>
      </c>
      <c r="C59">
        <v>4</v>
      </c>
      <c r="D59">
        <v>4</v>
      </c>
      <c r="E59" s="2" t="s">
        <v>437</v>
      </c>
    </row>
    <row r="60" spans="1:5" x14ac:dyDescent="0.25">
      <c r="A60" s="1">
        <v>45752</v>
      </c>
      <c r="B60">
        <v>2025</v>
      </c>
      <c r="C60">
        <v>4</v>
      </c>
      <c r="D60">
        <v>4</v>
      </c>
      <c r="E60" s="2" t="s">
        <v>437</v>
      </c>
    </row>
    <row r="61" spans="1:5" x14ac:dyDescent="0.25">
      <c r="A61" s="1">
        <v>45753</v>
      </c>
      <c r="B61">
        <v>2025</v>
      </c>
      <c r="C61">
        <v>4</v>
      </c>
      <c r="D61">
        <v>4</v>
      </c>
      <c r="E61" s="2" t="s">
        <v>437</v>
      </c>
    </row>
    <row r="62" spans="1:5" x14ac:dyDescent="0.25">
      <c r="A62" s="1">
        <v>45755</v>
      </c>
      <c r="B62">
        <v>2025</v>
      </c>
      <c r="C62">
        <v>4</v>
      </c>
      <c r="D62">
        <v>4</v>
      </c>
      <c r="E62" s="2" t="s">
        <v>437</v>
      </c>
    </row>
    <row r="63" spans="1:5" x14ac:dyDescent="0.25">
      <c r="A63" s="1">
        <v>45756</v>
      </c>
      <c r="B63">
        <v>2025</v>
      </c>
      <c r="C63">
        <v>4</v>
      </c>
      <c r="D63">
        <v>4</v>
      </c>
      <c r="E63" s="2" t="s">
        <v>437</v>
      </c>
    </row>
    <row r="64" spans="1:5" x14ac:dyDescent="0.25">
      <c r="A64" s="1">
        <v>45758</v>
      </c>
      <c r="B64">
        <v>2025</v>
      </c>
      <c r="C64">
        <v>4</v>
      </c>
      <c r="D64">
        <v>4</v>
      </c>
      <c r="E64" s="2" t="s">
        <v>437</v>
      </c>
    </row>
    <row r="65" spans="1:5" x14ac:dyDescent="0.25">
      <c r="A65" s="1">
        <v>45760</v>
      </c>
      <c r="B65">
        <v>2025</v>
      </c>
      <c r="C65">
        <v>4</v>
      </c>
      <c r="D65">
        <v>4</v>
      </c>
      <c r="E65" s="2" t="s">
        <v>437</v>
      </c>
    </row>
    <row r="66" spans="1:5" x14ac:dyDescent="0.25">
      <c r="A66" s="1">
        <v>45761</v>
      </c>
      <c r="B66">
        <v>2025</v>
      </c>
      <c r="C66">
        <v>4</v>
      </c>
      <c r="D66">
        <v>4</v>
      </c>
      <c r="E66" s="2" t="s">
        <v>437</v>
      </c>
    </row>
    <row r="67" spans="1:5" x14ac:dyDescent="0.25">
      <c r="A67" s="1">
        <v>45763</v>
      </c>
      <c r="B67">
        <v>2025</v>
      </c>
      <c r="C67">
        <v>4</v>
      </c>
      <c r="D67">
        <v>4</v>
      </c>
      <c r="E67" s="2" t="s">
        <v>437</v>
      </c>
    </row>
    <row r="68" spans="1:5" x14ac:dyDescent="0.25">
      <c r="A68" s="1">
        <v>45765</v>
      </c>
      <c r="B68">
        <v>2025</v>
      </c>
      <c r="C68">
        <v>4</v>
      </c>
      <c r="D68">
        <v>4</v>
      </c>
      <c r="E68" s="2" t="s">
        <v>437</v>
      </c>
    </row>
    <row r="69" spans="1:5" x14ac:dyDescent="0.25">
      <c r="A69" s="1">
        <v>45766</v>
      </c>
      <c r="B69">
        <v>2025</v>
      </c>
      <c r="C69">
        <v>4</v>
      </c>
      <c r="D69">
        <v>4</v>
      </c>
      <c r="E69" s="2" t="s">
        <v>437</v>
      </c>
    </row>
    <row r="70" spans="1:5" x14ac:dyDescent="0.25">
      <c r="A70" s="1">
        <v>45768</v>
      </c>
      <c r="B70">
        <v>2025</v>
      </c>
      <c r="C70">
        <v>4</v>
      </c>
      <c r="D70">
        <v>4</v>
      </c>
      <c r="E70" s="2" t="s">
        <v>437</v>
      </c>
    </row>
    <row r="71" spans="1:5" x14ac:dyDescent="0.25">
      <c r="A71" s="1">
        <v>45769</v>
      </c>
      <c r="B71">
        <v>2025</v>
      </c>
      <c r="C71">
        <v>4</v>
      </c>
      <c r="D71">
        <v>4</v>
      </c>
      <c r="E71" s="2" t="s">
        <v>437</v>
      </c>
    </row>
    <row r="72" spans="1:5" x14ac:dyDescent="0.25">
      <c r="A72" s="1">
        <v>45771</v>
      </c>
      <c r="B72">
        <v>2025</v>
      </c>
      <c r="C72">
        <v>4</v>
      </c>
      <c r="D72">
        <v>4</v>
      </c>
      <c r="E72" s="2" t="s">
        <v>437</v>
      </c>
    </row>
    <row r="73" spans="1:5" x14ac:dyDescent="0.25">
      <c r="A73" s="1">
        <v>45773</v>
      </c>
      <c r="B73">
        <v>2025</v>
      </c>
      <c r="C73">
        <v>4</v>
      </c>
      <c r="D73">
        <v>4</v>
      </c>
      <c r="E73" s="2" t="s">
        <v>437</v>
      </c>
    </row>
    <row r="74" spans="1:5" x14ac:dyDescent="0.25">
      <c r="A74" s="1">
        <v>45774</v>
      </c>
      <c r="B74">
        <v>2025</v>
      </c>
      <c r="C74">
        <v>4</v>
      </c>
      <c r="D74">
        <v>4</v>
      </c>
      <c r="E74" s="2" t="s">
        <v>437</v>
      </c>
    </row>
    <row r="75" spans="1:5" x14ac:dyDescent="0.25">
      <c r="A75" s="1">
        <v>45776</v>
      </c>
      <c r="B75">
        <v>2025</v>
      </c>
      <c r="C75">
        <v>4</v>
      </c>
      <c r="D75">
        <v>4</v>
      </c>
      <c r="E75" s="2" t="s">
        <v>437</v>
      </c>
    </row>
    <row r="76" spans="1:5" x14ac:dyDescent="0.25">
      <c r="A76" s="1">
        <v>45778</v>
      </c>
      <c r="B76">
        <v>2025</v>
      </c>
      <c r="C76">
        <v>5</v>
      </c>
      <c r="D76">
        <v>5</v>
      </c>
      <c r="E76" s="2" t="s">
        <v>438</v>
      </c>
    </row>
    <row r="77" spans="1:5" x14ac:dyDescent="0.25">
      <c r="A77" s="1">
        <v>45779</v>
      </c>
      <c r="B77">
        <v>2025</v>
      </c>
      <c r="C77">
        <v>5</v>
      </c>
      <c r="D77">
        <v>5</v>
      </c>
      <c r="E77" s="2" t="s">
        <v>438</v>
      </c>
    </row>
    <row r="78" spans="1:5" x14ac:dyDescent="0.25">
      <c r="A78" s="1">
        <v>45781</v>
      </c>
      <c r="B78">
        <v>2025</v>
      </c>
      <c r="C78">
        <v>5</v>
      </c>
      <c r="D78">
        <v>5</v>
      </c>
      <c r="E78" s="2" t="s">
        <v>438</v>
      </c>
    </row>
    <row r="79" spans="1:5" x14ac:dyDescent="0.25">
      <c r="A79" s="1">
        <v>45783</v>
      </c>
      <c r="B79">
        <v>2025</v>
      </c>
      <c r="C79">
        <v>5</v>
      </c>
      <c r="D79">
        <v>5</v>
      </c>
      <c r="E79" s="2" t="s">
        <v>438</v>
      </c>
    </row>
    <row r="80" spans="1:5" x14ac:dyDescent="0.25">
      <c r="A80" s="1">
        <v>45784</v>
      </c>
      <c r="B80">
        <v>2025</v>
      </c>
      <c r="C80">
        <v>5</v>
      </c>
      <c r="D80">
        <v>5</v>
      </c>
      <c r="E80" s="2" t="s">
        <v>438</v>
      </c>
    </row>
    <row r="81" spans="1:5" x14ac:dyDescent="0.25">
      <c r="A81" s="1">
        <v>45786</v>
      </c>
      <c r="B81">
        <v>2025</v>
      </c>
      <c r="C81">
        <v>5</v>
      </c>
      <c r="D81">
        <v>5</v>
      </c>
      <c r="E81" s="2" t="s">
        <v>438</v>
      </c>
    </row>
    <row r="82" spans="1:5" x14ac:dyDescent="0.25">
      <c r="A82" s="1">
        <v>45788</v>
      </c>
      <c r="B82">
        <v>2025</v>
      </c>
      <c r="C82">
        <v>5</v>
      </c>
      <c r="D82">
        <v>5</v>
      </c>
      <c r="E82" s="2" t="s">
        <v>438</v>
      </c>
    </row>
    <row r="83" spans="1:5" x14ac:dyDescent="0.25">
      <c r="A83" s="1">
        <v>45789</v>
      </c>
      <c r="B83">
        <v>2025</v>
      </c>
      <c r="C83">
        <v>5</v>
      </c>
      <c r="D83">
        <v>5</v>
      </c>
      <c r="E83" s="2" t="s">
        <v>438</v>
      </c>
    </row>
    <row r="84" spans="1:5" x14ac:dyDescent="0.25">
      <c r="A84" s="1">
        <v>45791</v>
      </c>
      <c r="B84">
        <v>2025</v>
      </c>
      <c r="C84">
        <v>5</v>
      </c>
      <c r="D84">
        <v>5</v>
      </c>
      <c r="E84" s="2" t="s">
        <v>438</v>
      </c>
    </row>
    <row r="85" spans="1:5" x14ac:dyDescent="0.25">
      <c r="A85" s="1">
        <v>45793</v>
      </c>
      <c r="B85">
        <v>2025</v>
      </c>
      <c r="C85">
        <v>5</v>
      </c>
      <c r="D85">
        <v>5</v>
      </c>
      <c r="E85" s="2" t="s">
        <v>438</v>
      </c>
    </row>
    <row r="86" spans="1:5" x14ac:dyDescent="0.25">
      <c r="A86" s="1">
        <v>45794</v>
      </c>
      <c r="B86">
        <v>2025</v>
      </c>
      <c r="C86">
        <v>5</v>
      </c>
      <c r="D86">
        <v>5</v>
      </c>
      <c r="E86" s="2" t="s">
        <v>438</v>
      </c>
    </row>
    <row r="87" spans="1:5" x14ac:dyDescent="0.25">
      <c r="A87" s="1">
        <v>45796</v>
      </c>
      <c r="B87">
        <v>2025</v>
      </c>
      <c r="C87">
        <v>5</v>
      </c>
      <c r="D87">
        <v>5</v>
      </c>
      <c r="E87" s="2" t="s">
        <v>438</v>
      </c>
    </row>
    <row r="88" spans="1:5" x14ac:dyDescent="0.25">
      <c r="A88" s="1">
        <v>45798</v>
      </c>
      <c r="B88">
        <v>2025</v>
      </c>
      <c r="C88">
        <v>5</v>
      </c>
      <c r="D88">
        <v>5</v>
      </c>
      <c r="E88" s="2" t="s">
        <v>438</v>
      </c>
    </row>
    <row r="89" spans="1:5" x14ac:dyDescent="0.25">
      <c r="A89" s="1">
        <v>45799</v>
      </c>
      <c r="B89">
        <v>2025</v>
      </c>
      <c r="C89">
        <v>5</v>
      </c>
      <c r="D89">
        <v>5</v>
      </c>
      <c r="E89" s="2" t="s">
        <v>438</v>
      </c>
    </row>
    <row r="90" spans="1:5" x14ac:dyDescent="0.25">
      <c r="A90" s="1">
        <v>45801</v>
      </c>
      <c r="B90">
        <v>2025</v>
      </c>
      <c r="C90">
        <v>5</v>
      </c>
      <c r="D90">
        <v>5</v>
      </c>
      <c r="E90" s="2" t="s">
        <v>438</v>
      </c>
    </row>
    <row r="91" spans="1:5" x14ac:dyDescent="0.25">
      <c r="A91" s="1">
        <v>45803</v>
      </c>
      <c r="B91">
        <v>2025</v>
      </c>
      <c r="C91">
        <v>5</v>
      </c>
      <c r="D91">
        <v>5</v>
      </c>
      <c r="E91" s="2" t="s">
        <v>438</v>
      </c>
    </row>
    <row r="92" spans="1:5" x14ac:dyDescent="0.25">
      <c r="A92" s="1">
        <v>45804</v>
      </c>
      <c r="B92">
        <v>2025</v>
      </c>
      <c r="C92">
        <v>5</v>
      </c>
      <c r="D92">
        <v>5</v>
      </c>
      <c r="E92" s="2" t="s">
        <v>438</v>
      </c>
    </row>
    <row r="93" spans="1:5" x14ac:dyDescent="0.25">
      <c r="A93" s="1">
        <v>45806</v>
      </c>
      <c r="B93">
        <v>2025</v>
      </c>
      <c r="C93">
        <v>5</v>
      </c>
      <c r="D93">
        <v>5</v>
      </c>
      <c r="E93" s="2" t="s">
        <v>438</v>
      </c>
    </row>
    <row r="94" spans="1:5" x14ac:dyDescent="0.25">
      <c r="A94" s="1">
        <v>45808</v>
      </c>
      <c r="B94">
        <v>2025</v>
      </c>
      <c r="C94">
        <v>5</v>
      </c>
      <c r="D94">
        <v>5</v>
      </c>
      <c r="E94" s="2" t="s">
        <v>438</v>
      </c>
    </row>
    <row r="95" spans="1:5" x14ac:dyDescent="0.25">
      <c r="A95" s="1">
        <v>45809</v>
      </c>
      <c r="B95">
        <v>2025</v>
      </c>
      <c r="C95">
        <v>6</v>
      </c>
      <c r="D95">
        <v>6</v>
      </c>
      <c r="E95" s="2" t="s">
        <v>439</v>
      </c>
    </row>
    <row r="96" spans="1:5" x14ac:dyDescent="0.25">
      <c r="A96" s="1">
        <v>45811</v>
      </c>
      <c r="B96">
        <v>2025</v>
      </c>
      <c r="C96">
        <v>6</v>
      </c>
      <c r="D96">
        <v>6</v>
      </c>
      <c r="E96" s="2" t="s">
        <v>439</v>
      </c>
    </row>
    <row r="97" spans="1:5" x14ac:dyDescent="0.25">
      <c r="A97" s="1">
        <v>45813</v>
      </c>
      <c r="B97">
        <v>2025</v>
      </c>
      <c r="C97">
        <v>6</v>
      </c>
      <c r="D97">
        <v>6</v>
      </c>
      <c r="E97" s="2" t="s">
        <v>439</v>
      </c>
    </row>
    <row r="98" spans="1:5" x14ac:dyDescent="0.25">
      <c r="A98" s="1">
        <v>45814</v>
      </c>
      <c r="B98">
        <v>2025</v>
      </c>
      <c r="C98">
        <v>6</v>
      </c>
      <c r="D98">
        <v>6</v>
      </c>
      <c r="E98" s="2" t="s">
        <v>439</v>
      </c>
    </row>
    <row r="99" spans="1:5" x14ac:dyDescent="0.25">
      <c r="A99" s="1">
        <v>45816</v>
      </c>
      <c r="B99">
        <v>2025</v>
      </c>
      <c r="C99">
        <v>6</v>
      </c>
      <c r="D99">
        <v>6</v>
      </c>
      <c r="E99" s="2" t="s">
        <v>439</v>
      </c>
    </row>
    <row r="100" spans="1:5" x14ac:dyDescent="0.25">
      <c r="A100" s="1">
        <v>45817</v>
      </c>
      <c r="B100">
        <v>2025</v>
      </c>
      <c r="C100">
        <v>6</v>
      </c>
      <c r="D100">
        <v>6</v>
      </c>
      <c r="E100" s="2" t="s">
        <v>439</v>
      </c>
    </row>
    <row r="101" spans="1:5" x14ac:dyDescent="0.25">
      <c r="A101" s="1">
        <v>45819</v>
      </c>
      <c r="B101">
        <v>2025</v>
      </c>
      <c r="C101">
        <v>6</v>
      </c>
      <c r="D101">
        <v>6</v>
      </c>
      <c r="E101" s="2" t="s">
        <v>439</v>
      </c>
    </row>
    <row r="102" spans="1:5" x14ac:dyDescent="0.25">
      <c r="A102" s="1">
        <v>45821</v>
      </c>
      <c r="B102">
        <v>2025</v>
      </c>
      <c r="C102">
        <v>6</v>
      </c>
      <c r="D102">
        <v>6</v>
      </c>
      <c r="E102" s="2" t="s">
        <v>439</v>
      </c>
    </row>
    <row r="103" spans="1:5" x14ac:dyDescent="0.25">
      <c r="A103" s="1">
        <v>45822</v>
      </c>
      <c r="B103">
        <v>2025</v>
      </c>
      <c r="C103">
        <v>6</v>
      </c>
      <c r="D103">
        <v>6</v>
      </c>
      <c r="E103" s="2" t="s">
        <v>439</v>
      </c>
    </row>
    <row r="104" spans="1:5" x14ac:dyDescent="0.25">
      <c r="A104" s="1">
        <v>45824</v>
      </c>
      <c r="B104">
        <v>2025</v>
      </c>
      <c r="C104">
        <v>6</v>
      </c>
      <c r="D104">
        <v>6</v>
      </c>
      <c r="E104" s="2" t="s">
        <v>439</v>
      </c>
    </row>
    <row r="105" spans="1:5" x14ac:dyDescent="0.25">
      <c r="A105" s="1">
        <v>45826</v>
      </c>
      <c r="B105">
        <v>2025</v>
      </c>
      <c r="C105">
        <v>6</v>
      </c>
      <c r="D105">
        <v>6</v>
      </c>
      <c r="E105" s="2" t="s">
        <v>439</v>
      </c>
    </row>
    <row r="106" spans="1:5" x14ac:dyDescent="0.25">
      <c r="A106" s="1">
        <v>45827</v>
      </c>
      <c r="B106">
        <v>2025</v>
      </c>
      <c r="C106">
        <v>6</v>
      </c>
      <c r="D106">
        <v>6</v>
      </c>
      <c r="E106" s="2" t="s">
        <v>439</v>
      </c>
    </row>
    <row r="107" spans="1:5" x14ac:dyDescent="0.25">
      <c r="A107" s="1">
        <v>45829</v>
      </c>
      <c r="B107">
        <v>2025</v>
      </c>
      <c r="C107">
        <v>6</v>
      </c>
      <c r="D107">
        <v>6</v>
      </c>
      <c r="E107" s="2" t="s">
        <v>439</v>
      </c>
    </row>
    <row r="108" spans="1:5" x14ac:dyDescent="0.25">
      <c r="A108" s="1">
        <v>45830</v>
      </c>
      <c r="B108">
        <v>2025</v>
      </c>
      <c r="C108">
        <v>6</v>
      </c>
      <c r="D108">
        <v>6</v>
      </c>
      <c r="E108" s="2" t="s">
        <v>439</v>
      </c>
    </row>
    <row r="109" spans="1:5" x14ac:dyDescent="0.25">
      <c r="A109" s="1">
        <v>45832</v>
      </c>
      <c r="B109">
        <v>2025</v>
      </c>
      <c r="C109">
        <v>6</v>
      </c>
      <c r="D109">
        <v>6</v>
      </c>
      <c r="E109" s="2" t="s">
        <v>439</v>
      </c>
    </row>
    <row r="110" spans="1:5" x14ac:dyDescent="0.25">
      <c r="A110" s="1">
        <v>45834</v>
      </c>
      <c r="B110">
        <v>2025</v>
      </c>
      <c r="C110">
        <v>6</v>
      </c>
      <c r="D110">
        <v>6</v>
      </c>
      <c r="E110" s="2" t="s">
        <v>439</v>
      </c>
    </row>
    <row r="111" spans="1:5" x14ac:dyDescent="0.25">
      <c r="A111" s="1">
        <v>45835</v>
      </c>
      <c r="B111">
        <v>2025</v>
      </c>
      <c r="C111">
        <v>6</v>
      </c>
      <c r="D111">
        <v>6</v>
      </c>
      <c r="E111" s="2" t="s">
        <v>439</v>
      </c>
    </row>
    <row r="112" spans="1:5" x14ac:dyDescent="0.25">
      <c r="A112" s="1">
        <v>45837</v>
      </c>
      <c r="B112">
        <v>2025</v>
      </c>
      <c r="C112">
        <v>6</v>
      </c>
      <c r="D112">
        <v>6</v>
      </c>
      <c r="E112" s="2" t="s">
        <v>439</v>
      </c>
    </row>
    <row r="113" spans="1:5" x14ac:dyDescent="0.25">
      <c r="A113" s="1">
        <v>45839</v>
      </c>
      <c r="B113">
        <v>2025</v>
      </c>
      <c r="C113">
        <v>7</v>
      </c>
      <c r="D113">
        <v>7</v>
      </c>
      <c r="E113" s="2" t="s">
        <v>440</v>
      </c>
    </row>
    <row r="114" spans="1:5" x14ac:dyDescent="0.25">
      <c r="A114" s="1">
        <v>45840</v>
      </c>
      <c r="B114">
        <v>2025</v>
      </c>
      <c r="C114">
        <v>7</v>
      </c>
      <c r="D114">
        <v>7</v>
      </c>
      <c r="E114" s="2" t="s">
        <v>440</v>
      </c>
    </row>
    <row r="115" spans="1:5" x14ac:dyDescent="0.25">
      <c r="A115" s="1">
        <v>45842</v>
      </c>
      <c r="B115">
        <v>2025</v>
      </c>
      <c r="C115">
        <v>7</v>
      </c>
      <c r="D115">
        <v>7</v>
      </c>
      <c r="E115" s="2" t="s">
        <v>440</v>
      </c>
    </row>
    <row r="116" spans="1:5" x14ac:dyDescent="0.25">
      <c r="A116" s="1">
        <v>45844</v>
      </c>
      <c r="B116">
        <v>2025</v>
      </c>
      <c r="C116">
        <v>7</v>
      </c>
      <c r="D116">
        <v>7</v>
      </c>
      <c r="E116" s="2" t="s">
        <v>440</v>
      </c>
    </row>
    <row r="117" spans="1:5" x14ac:dyDescent="0.25">
      <c r="A117" s="1">
        <v>45845</v>
      </c>
      <c r="B117">
        <v>2025</v>
      </c>
      <c r="C117">
        <v>7</v>
      </c>
      <c r="D117">
        <v>7</v>
      </c>
      <c r="E117" s="2" t="s">
        <v>440</v>
      </c>
    </row>
    <row r="118" spans="1:5" x14ac:dyDescent="0.25">
      <c r="A118" s="1">
        <v>45847</v>
      </c>
      <c r="B118">
        <v>2025</v>
      </c>
      <c r="C118">
        <v>7</v>
      </c>
      <c r="D118">
        <v>7</v>
      </c>
      <c r="E118" s="2" t="s">
        <v>440</v>
      </c>
    </row>
    <row r="119" spans="1:5" x14ac:dyDescent="0.25">
      <c r="A119" s="1">
        <v>45849</v>
      </c>
      <c r="B119">
        <v>2025</v>
      </c>
      <c r="C119">
        <v>7</v>
      </c>
      <c r="D119">
        <v>7</v>
      </c>
      <c r="E119" s="2" t="s">
        <v>440</v>
      </c>
    </row>
    <row r="120" spans="1:5" x14ac:dyDescent="0.25">
      <c r="A120" s="1">
        <v>45850</v>
      </c>
      <c r="B120">
        <v>2025</v>
      </c>
      <c r="C120">
        <v>7</v>
      </c>
      <c r="D120">
        <v>7</v>
      </c>
      <c r="E120" s="2" t="s">
        <v>440</v>
      </c>
    </row>
    <row r="121" spans="1:5" x14ac:dyDescent="0.25">
      <c r="A121" s="1">
        <v>45852</v>
      </c>
      <c r="B121">
        <v>2025</v>
      </c>
      <c r="C121">
        <v>7</v>
      </c>
      <c r="D121">
        <v>7</v>
      </c>
      <c r="E121" s="2" t="s">
        <v>440</v>
      </c>
    </row>
    <row r="122" spans="1:5" x14ac:dyDescent="0.25">
      <c r="A122" s="1">
        <v>45854</v>
      </c>
      <c r="B122">
        <v>2025</v>
      </c>
      <c r="C122">
        <v>7</v>
      </c>
      <c r="D122">
        <v>7</v>
      </c>
      <c r="E122" s="2" t="s">
        <v>440</v>
      </c>
    </row>
    <row r="123" spans="1:5" x14ac:dyDescent="0.25">
      <c r="A123" s="1">
        <v>45855</v>
      </c>
      <c r="B123">
        <v>2025</v>
      </c>
      <c r="C123">
        <v>7</v>
      </c>
      <c r="D123">
        <v>7</v>
      </c>
      <c r="E123" s="2" t="s">
        <v>440</v>
      </c>
    </row>
    <row r="124" spans="1:5" x14ac:dyDescent="0.25">
      <c r="A124" s="1">
        <v>45857</v>
      </c>
      <c r="B124">
        <v>2025</v>
      </c>
      <c r="C124">
        <v>7</v>
      </c>
      <c r="D124">
        <v>7</v>
      </c>
      <c r="E124" s="2" t="s">
        <v>440</v>
      </c>
    </row>
    <row r="125" spans="1:5" x14ac:dyDescent="0.25">
      <c r="A125" s="1">
        <v>45859</v>
      </c>
      <c r="B125">
        <v>2025</v>
      </c>
      <c r="C125">
        <v>7</v>
      </c>
      <c r="D125">
        <v>7</v>
      </c>
      <c r="E125" s="2" t="s">
        <v>440</v>
      </c>
    </row>
    <row r="126" spans="1:5" x14ac:dyDescent="0.25">
      <c r="A126" s="1">
        <v>45860</v>
      </c>
      <c r="B126">
        <v>2025</v>
      </c>
      <c r="C126">
        <v>7</v>
      </c>
      <c r="D126">
        <v>7</v>
      </c>
      <c r="E126" s="2" t="s">
        <v>440</v>
      </c>
    </row>
    <row r="127" spans="1:5" x14ac:dyDescent="0.25">
      <c r="A127" s="1">
        <v>45862</v>
      </c>
      <c r="B127">
        <v>2025</v>
      </c>
      <c r="C127">
        <v>7</v>
      </c>
      <c r="D127">
        <v>7</v>
      </c>
      <c r="E127" s="2" t="s">
        <v>440</v>
      </c>
    </row>
    <row r="128" spans="1:5" x14ac:dyDescent="0.25">
      <c r="A128" s="1">
        <v>45864</v>
      </c>
      <c r="B128">
        <v>2025</v>
      </c>
      <c r="C128">
        <v>7</v>
      </c>
      <c r="D128">
        <v>7</v>
      </c>
      <c r="E128" s="2" t="s">
        <v>440</v>
      </c>
    </row>
    <row r="129" spans="1:5" x14ac:dyDescent="0.25">
      <c r="A129" s="1">
        <v>45865</v>
      </c>
      <c r="B129">
        <v>2025</v>
      </c>
      <c r="C129">
        <v>7</v>
      </c>
      <c r="D129">
        <v>7</v>
      </c>
      <c r="E129" s="2" t="s">
        <v>440</v>
      </c>
    </row>
    <row r="130" spans="1:5" x14ac:dyDescent="0.25">
      <c r="A130" s="1">
        <v>45867</v>
      </c>
      <c r="B130">
        <v>2025</v>
      </c>
      <c r="C130">
        <v>7</v>
      </c>
      <c r="D130">
        <v>7</v>
      </c>
      <c r="E130" s="2" t="s">
        <v>440</v>
      </c>
    </row>
    <row r="131" spans="1:5" x14ac:dyDescent="0.25">
      <c r="A131" s="1">
        <v>45869</v>
      </c>
      <c r="B131">
        <v>2025</v>
      </c>
      <c r="C131">
        <v>7</v>
      </c>
      <c r="D131">
        <v>7</v>
      </c>
      <c r="E131" s="2" t="s">
        <v>440</v>
      </c>
    </row>
    <row r="132" spans="1:5" x14ac:dyDescent="0.25">
      <c r="A132" s="1">
        <v>45870</v>
      </c>
      <c r="B132">
        <v>2025</v>
      </c>
      <c r="C132">
        <v>8</v>
      </c>
      <c r="D132">
        <v>8</v>
      </c>
      <c r="E132" s="2" t="s">
        <v>441</v>
      </c>
    </row>
    <row r="133" spans="1:5" x14ac:dyDescent="0.25">
      <c r="A133" s="1">
        <v>45872</v>
      </c>
      <c r="B133">
        <v>2025</v>
      </c>
      <c r="C133">
        <v>8</v>
      </c>
      <c r="D133">
        <v>8</v>
      </c>
      <c r="E133" s="2" t="s">
        <v>441</v>
      </c>
    </row>
    <row r="134" spans="1:5" x14ac:dyDescent="0.25">
      <c r="A134" s="1">
        <v>45874</v>
      </c>
      <c r="B134">
        <v>2025</v>
      </c>
      <c r="C134">
        <v>8</v>
      </c>
      <c r="D134">
        <v>8</v>
      </c>
      <c r="E134" s="2" t="s">
        <v>441</v>
      </c>
    </row>
    <row r="135" spans="1:5" x14ac:dyDescent="0.25">
      <c r="A135" s="1">
        <v>45875</v>
      </c>
      <c r="B135">
        <v>2025</v>
      </c>
      <c r="C135">
        <v>8</v>
      </c>
      <c r="D135">
        <v>8</v>
      </c>
      <c r="E135" s="2" t="s">
        <v>441</v>
      </c>
    </row>
    <row r="136" spans="1:5" x14ac:dyDescent="0.25">
      <c r="A136" s="1">
        <v>45877</v>
      </c>
      <c r="B136">
        <v>2025</v>
      </c>
      <c r="C136">
        <v>8</v>
      </c>
      <c r="D136">
        <v>8</v>
      </c>
      <c r="E136" s="2" t="s">
        <v>441</v>
      </c>
    </row>
    <row r="137" spans="1:5" x14ac:dyDescent="0.25">
      <c r="A137" s="1">
        <v>45879</v>
      </c>
      <c r="B137">
        <v>2025</v>
      </c>
      <c r="C137">
        <v>8</v>
      </c>
      <c r="D137">
        <v>8</v>
      </c>
      <c r="E137" s="2" t="s">
        <v>441</v>
      </c>
    </row>
    <row r="138" spans="1:5" x14ac:dyDescent="0.25">
      <c r="A138" s="1">
        <v>45880</v>
      </c>
      <c r="B138">
        <v>2025</v>
      </c>
      <c r="C138">
        <v>8</v>
      </c>
      <c r="D138">
        <v>8</v>
      </c>
      <c r="E138" s="2" t="s">
        <v>441</v>
      </c>
    </row>
    <row r="139" spans="1:5" x14ac:dyDescent="0.25">
      <c r="A139" s="1">
        <v>45882</v>
      </c>
      <c r="B139">
        <v>2025</v>
      </c>
      <c r="C139">
        <v>8</v>
      </c>
      <c r="D139">
        <v>8</v>
      </c>
      <c r="E139" s="2" t="s">
        <v>441</v>
      </c>
    </row>
    <row r="140" spans="1:5" x14ac:dyDescent="0.25">
      <c r="A140" s="1">
        <v>45884</v>
      </c>
      <c r="B140">
        <v>2025</v>
      </c>
      <c r="C140">
        <v>8</v>
      </c>
      <c r="D140">
        <v>8</v>
      </c>
      <c r="E140" s="2" t="s">
        <v>441</v>
      </c>
    </row>
    <row r="141" spans="1:5" x14ac:dyDescent="0.25">
      <c r="A141" s="1">
        <v>45885</v>
      </c>
      <c r="B141">
        <v>2025</v>
      </c>
      <c r="C141">
        <v>8</v>
      </c>
      <c r="D141">
        <v>8</v>
      </c>
      <c r="E141" s="2" t="s">
        <v>441</v>
      </c>
    </row>
    <row r="142" spans="1:5" x14ac:dyDescent="0.25">
      <c r="A142" s="1">
        <v>45887</v>
      </c>
      <c r="B142">
        <v>2025</v>
      </c>
      <c r="C142">
        <v>8</v>
      </c>
      <c r="D142">
        <v>8</v>
      </c>
      <c r="E142" s="2" t="s">
        <v>441</v>
      </c>
    </row>
    <row r="143" spans="1:5" x14ac:dyDescent="0.25">
      <c r="A143" s="1">
        <v>45889</v>
      </c>
      <c r="B143">
        <v>2025</v>
      </c>
      <c r="C143">
        <v>8</v>
      </c>
      <c r="D143">
        <v>8</v>
      </c>
      <c r="E143" s="2" t="s">
        <v>441</v>
      </c>
    </row>
    <row r="144" spans="1:5" x14ac:dyDescent="0.25">
      <c r="A144" s="1">
        <v>45890</v>
      </c>
      <c r="B144">
        <v>2025</v>
      </c>
      <c r="C144">
        <v>8</v>
      </c>
      <c r="D144">
        <v>8</v>
      </c>
      <c r="E144" s="2" t="s">
        <v>441</v>
      </c>
    </row>
    <row r="145" spans="1:5" x14ac:dyDescent="0.25">
      <c r="A145" s="1">
        <v>45892</v>
      </c>
      <c r="B145">
        <v>2025</v>
      </c>
      <c r="C145">
        <v>8</v>
      </c>
      <c r="D145">
        <v>8</v>
      </c>
      <c r="E145" s="2" t="s">
        <v>441</v>
      </c>
    </row>
    <row r="146" spans="1:5" x14ac:dyDescent="0.25">
      <c r="A146" s="1">
        <v>45894</v>
      </c>
      <c r="B146">
        <v>2025</v>
      </c>
      <c r="C146">
        <v>8</v>
      </c>
      <c r="D146">
        <v>8</v>
      </c>
      <c r="E146" s="2" t="s">
        <v>441</v>
      </c>
    </row>
    <row r="147" spans="1:5" x14ac:dyDescent="0.25">
      <c r="A147" s="1">
        <v>45895</v>
      </c>
      <c r="B147">
        <v>2025</v>
      </c>
      <c r="C147">
        <v>8</v>
      </c>
      <c r="D147">
        <v>8</v>
      </c>
      <c r="E147" s="2" t="s">
        <v>441</v>
      </c>
    </row>
    <row r="148" spans="1:5" x14ac:dyDescent="0.25">
      <c r="A148" s="1">
        <v>45897</v>
      </c>
      <c r="B148">
        <v>2025</v>
      </c>
      <c r="C148">
        <v>8</v>
      </c>
      <c r="D148">
        <v>8</v>
      </c>
      <c r="E148" s="2" t="s">
        <v>441</v>
      </c>
    </row>
    <row r="149" spans="1:5" x14ac:dyDescent="0.25">
      <c r="A149" s="1">
        <v>45899</v>
      </c>
      <c r="B149">
        <v>2025</v>
      </c>
      <c r="C149">
        <v>8</v>
      </c>
      <c r="D149">
        <v>8</v>
      </c>
      <c r="E149" s="2" t="s">
        <v>441</v>
      </c>
    </row>
    <row r="150" spans="1:5" x14ac:dyDescent="0.25">
      <c r="A150" s="1">
        <v>45901</v>
      </c>
      <c r="B150">
        <v>2025</v>
      </c>
      <c r="C150">
        <v>9</v>
      </c>
      <c r="D150">
        <v>9</v>
      </c>
      <c r="E150" s="2" t="s">
        <v>442</v>
      </c>
    </row>
    <row r="151" spans="1:5" x14ac:dyDescent="0.25">
      <c r="A151" s="1">
        <v>45902</v>
      </c>
      <c r="B151">
        <v>2025</v>
      </c>
      <c r="C151">
        <v>9</v>
      </c>
      <c r="D151">
        <v>9</v>
      </c>
      <c r="E151" s="2" t="s">
        <v>442</v>
      </c>
    </row>
    <row r="152" spans="1:5" x14ac:dyDescent="0.25">
      <c r="A152" s="1">
        <v>45904</v>
      </c>
      <c r="B152">
        <v>2025</v>
      </c>
      <c r="C152">
        <v>9</v>
      </c>
      <c r="D152">
        <v>9</v>
      </c>
      <c r="E152" s="2" t="s">
        <v>442</v>
      </c>
    </row>
    <row r="153" spans="1:5" x14ac:dyDescent="0.25">
      <c r="A153" s="1">
        <v>45905</v>
      </c>
      <c r="B153">
        <v>2025</v>
      </c>
      <c r="C153">
        <v>9</v>
      </c>
      <c r="D153">
        <v>9</v>
      </c>
      <c r="E153" s="2" t="s">
        <v>442</v>
      </c>
    </row>
    <row r="154" spans="1:5" x14ac:dyDescent="0.25">
      <c r="A154" s="1">
        <v>45907</v>
      </c>
      <c r="B154">
        <v>2025</v>
      </c>
      <c r="C154">
        <v>9</v>
      </c>
      <c r="D154">
        <v>9</v>
      </c>
      <c r="E154" s="2" t="s">
        <v>442</v>
      </c>
    </row>
    <row r="155" spans="1:5" x14ac:dyDescent="0.25">
      <c r="A155" s="1">
        <v>45909</v>
      </c>
      <c r="B155">
        <v>2025</v>
      </c>
      <c r="C155">
        <v>9</v>
      </c>
      <c r="D155">
        <v>9</v>
      </c>
      <c r="E155" s="2" t="s">
        <v>442</v>
      </c>
    </row>
    <row r="156" spans="1:5" x14ac:dyDescent="0.25">
      <c r="A156" s="1">
        <v>45910</v>
      </c>
      <c r="B156">
        <v>2025</v>
      </c>
      <c r="C156">
        <v>9</v>
      </c>
      <c r="D156">
        <v>9</v>
      </c>
      <c r="E156" s="2" t="s">
        <v>442</v>
      </c>
    </row>
    <row r="157" spans="1:5" x14ac:dyDescent="0.25">
      <c r="A157" s="1">
        <v>45912</v>
      </c>
      <c r="B157">
        <v>2025</v>
      </c>
      <c r="C157">
        <v>9</v>
      </c>
      <c r="D157">
        <v>9</v>
      </c>
      <c r="E157" s="2" t="s">
        <v>442</v>
      </c>
    </row>
    <row r="158" spans="1:5" x14ac:dyDescent="0.25">
      <c r="A158" s="1">
        <v>45913</v>
      </c>
      <c r="B158">
        <v>2025</v>
      </c>
      <c r="C158">
        <v>9</v>
      </c>
      <c r="D158">
        <v>9</v>
      </c>
      <c r="E158" s="2" t="s">
        <v>442</v>
      </c>
    </row>
    <row r="159" spans="1:5" x14ac:dyDescent="0.25">
      <c r="A159" s="1">
        <v>45915</v>
      </c>
      <c r="B159">
        <v>2025</v>
      </c>
      <c r="C159">
        <v>9</v>
      </c>
      <c r="D159">
        <v>9</v>
      </c>
      <c r="E159" s="2" t="s">
        <v>442</v>
      </c>
    </row>
    <row r="160" spans="1:5" x14ac:dyDescent="0.25">
      <c r="A160" s="1">
        <v>45917</v>
      </c>
      <c r="B160">
        <v>2025</v>
      </c>
      <c r="C160">
        <v>9</v>
      </c>
      <c r="D160">
        <v>9</v>
      </c>
      <c r="E160" s="2" t="s">
        <v>442</v>
      </c>
    </row>
    <row r="161" spans="1:5" x14ac:dyDescent="0.25">
      <c r="A161" s="1">
        <v>45918</v>
      </c>
      <c r="B161">
        <v>2025</v>
      </c>
      <c r="C161">
        <v>9</v>
      </c>
      <c r="D161">
        <v>9</v>
      </c>
      <c r="E161" s="2" t="s">
        <v>442</v>
      </c>
    </row>
    <row r="162" spans="1:5" x14ac:dyDescent="0.25">
      <c r="A162" s="1">
        <v>45920</v>
      </c>
      <c r="B162">
        <v>2025</v>
      </c>
      <c r="C162">
        <v>9</v>
      </c>
      <c r="D162">
        <v>9</v>
      </c>
      <c r="E162" s="2" t="s">
        <v>442</v>
      </c>
    </row>
    <row r="163" spans="1:5" x14ac:dyDescent="0.25">
      <c r="A163" s="1">
        <v>45922</v>
      </c>
      <c r="B163">
        <v>2025</v>
      </c>
      <c r="C163">
        <v>9</v>
      </c>
      <c r="D163">
        <v>9</v>
      </c>
      <c r="E163" s="2" t="s">
        <v>442</v>
      </c>
    </row>
    <row r="164" spans="1:5" x14ac:dyDescent="0.25">
      <c r="A164" s="1">
        <v>45923</v>
      </c>
      <c r="B164">
        <v>2025</v>
      </c>
      <c r="C164">
        <v>9</v>
      </c>
      <c r="D164">
        <v>9</v>
      </c>
      <c r="E164" s="2" t="s">
        <v>442</v>
      </c>
    </row>
    <row r="165" spans="1:5" x14ac:dyDescent="0.25">
      <c r="A165" s="1">
        <v>45925</v>
      </c>
      <c r="B165">
        <v>2025</v>
      </c>
      <c r="C165">
        <v>9</v>
      </c>
      <c r="D165">
        <v>9</v>
      </c>
      <c r="E165" s="2" t="s">
        <v>442</v>
      </c>
    </row>
    <row r="166" spans="1:5" x14ac:dyDescent="0.25">
      <c r="A166" s="1">
        <v>45926</v>
      </c>
      <c r="B166">
        <v>2025</v>
      </c>
      <c r="C166">
        <v>9</v>
      </c>
      <c r="D166">
        <v>9</v>
      </c>
      <c r="E166" s="2" t="s">
        <v>442</v>
      </c>
    </row>
    <row r="167" spans="1:5" x14ac:dyDescent="0.25">
      <c r="A167" s="1">
        <v>45928</v>
      </c>
      <c r="B167">
        <v>2025</v>
      </c>
      <c r="C167">
        <v>9</v>
      </c>
      <c r="D167">
        <v>9</v>
      </c>
      <c r="E167" s="2" t="s">
        <v>442</v>
      </c>
    </row>
    <row r="168" spans="1:5" x14ac:dyDescent="0.25">
      <c r="A168" s="1">
        <v>45930</v>
      </c>
      <c r="B168">
        <v>2025</v>
      </c>
      <c r="C168">
        <v>9</v>
      </c>
      <c r="D168">
        <v>9</v>
      </c>
      <c r="E168" s="2" t="s">
        <v>442</v>
      </c>
    </row>
    <row r="169" spans="1:5" x14ac:dyDescent="0.25">
      <c r="A169" s="1">
        <v>45931</v>
      </c>
      <c r="B169">
        <v>2025</v>
      </c>
      <c r="C169">
        <v>10</v>
      </c>
      <c r="D169">
        <v>10</v>
      </c>
      <c r="E169" s="2" t="s">
        <v>443</v>
      </c>
    </row>
    <row r="170" spans="1:5" x14ac:dyDescent="0.25">
      <c r="A170" s="1">
        <v>45933</v>
      </c>
      <c r="B170">
        <v>2025</v>
      </c>
      <c r="C170">
        <v>10</v>
      </c>
      <c r="D170">
        <v>10</v>
      </c>
      <c r="E170" s="2" t="s">
        <v>443</v>
      </c>
    </row>
    <row r="171" spans="1:5" x14ac:dyDescent="0.25">
      <c r="A171" s="1">
        <v>45935</v>
      </c>
      <c r="B171">
        <v>2025</v>
      </c>
      <c r="C171">
        <v>10</v>
      </c>
      <c r="D171">
        <v>10</v>
      </c>
      <c r="E171" s="2" t="s">
        <v>443</v>
      </c>
    </row>
    <row r="172" spans="1:5" x14ac:dyDescent="0.25">
      <c r="A172" s="1">
        <v>45936</v>
      </c>
      <c r="B172">
        <v>2025</v>
      </c>
      <c r="C172">
        <v>10</v>
      </c>
      <c r="D172">
        <v>10</v>
      </c>
      <c r="E172" s="2" t="s">
        <v>443</v>
      </c>
    </row>
    <row r="173" spans="1:5" x14ac:dyDescent="0.25">
      <c r="A173" s="1">
        <v>45938</v>
      </c>
      <c r="B173">
        <v>2025</v>
      </c>
      <c r="C173">
        <v>10</v>
      </c>
      <c r="D173">
        <v>10</v>
      </c>
      <c r="E173" s="2" t="s">
        <v>443</v>
      </c>
    </row>
    <row r="174" spans="1:5" x14ac:dyDescent="0.25">
      <c r="A174" s="1">
        <v>45940</v>
      </c>
      <c r="B174">
        <v>2025</v>
      </c>
      <c r="C174">
        <v>10</v>
      </c>
      <c r="D174">
        <v>10</v>
      </c>
      <c r="E174" s="2" t="s">
        <v>443</v>
      </c>
    </row>
    <row r="175" spans="1:5" x14ac:dyDescent="0.25">
      <c r="A175" s="1">
        <v>45941</v>
      </c>
      <c r="B175">
        <v>2025</v>
      </c>
      <c r="C175">
        <v>10</v>
      </c>
      <c r="D175">
        <v>10</v>
      </c>
      <c r="E175" s="2" t="s">
        <v>443</v>
      </c>
    </row>
    <row r="176" spans="1:5" x14ac:dyDescent="0.25">
      <c r="A176" s="1">
        <v>45943</v>
      </c>
      <c r="B176">
        <v>2025</v>
      </c>
      <c r="C176">
        <v>10</v>
      </c>
      <c r="D176">
        <v>10</v>
      </c>
      <c r="E176" s="2" t="s">
        <v>443</v>
      </c>
    </row>
    <row r="177" spans="1:5" x14ac:dyDescent="0.25">
      <c r="A177" s="1">
        <v>45945</v>
      </c>
      <c r="B177">
        <v>2025</v>
      </c>
      <c r="C177">
        <v>10</v>
      </c>
      <c r="D177">
        <v>10</v>
      </c>
      <c r="E177" s="2" t="s">
        <v>443</v>
      </c>
    </row>
    <row r="178" spans="1:5" x14ac:dyDescent="0.25">
      <c r="A178" s="1">
        <v>45946</v>
      </c>
      <c r="B178">
        <v>2025</v>
      </c>
      <c r="C178">
        <v>10</v>
      </c>
      <c r="D178">
        <v>10</v>
      </c>
      <c r="E178" s="2" t="s">
        <v>443</v>
      </c>
    </row>
    <row r="179" spans="1:5" x14ac:dyDescent="0.25">
      <c r="A179" s="1">
        <v>45948</v>
      </c>
      <c r="B179">
        <v>2025</v>
      </c>
      <c r="C179">
        <v>10</v>
      </c>
      <c r="D179">
        <v>10</v>
      </c>
      <c r="E179" s="2" t="s">
        <v>443</v>
      </c>
    </row>
    <row r="180" spans="1:5" x14ac:dyDescent="0.25">
      <c r="A180" s="1">
        <v>45950</v>
      </c>
      <c r="B180">
        <v>2025</v>
      </c>
      <c r="C180">
        <v>10</v>
      </c>
      <c r="D180">
        <v>10</v>
      </c>
      <c r="E180" s="2" t="s">
        <v>443</v>
      </c>
    </row>
    <row r="181" spans="1:5" x14ac:dyDescent="0.25">
      <c r="A181" s="1">
        <v>45951</v>
      </c>
      <c r="B181">
        <v>2025</v>
      </c>
      <c r="C181">
        <v>10</v>
      </c>
      <c r="D181">
        <v>10</v>
      </c>
      <c r="E181" s="2" t="s">
        <v>443</v>
      </c>
    </row>
    <row r="182" spans="1:5" x14ac:dyDescent="0.25">
      <c r="A182" s="1">
        <v>45953</v>
      </c>
      <c r="B182">
        <v>2025</v>
      </c>
      <c r="C182">
        <v>10</v>
      </c>
      <c r="D182">
        <v>10</v>
      </c>
      <c r="E182" s="2" t="s">
        <v>443</v>
      </c>
    </row>
    <row r="183" spans="1:5" x14ac:dyDescent="0.25">
      <c r="A183" s="1">
        <v>45955</v>
      </c>
      <c r="B183">
        <v>2025</v>
      </c>
      <c r="C183">
        <v>10</v>
      </c>
      <c r="D183">
        <v>10</v>
      </c>
      <c r="E183" s="2" t="s">
        <v>443</v>
      </c>
    </row>
    <row r="184" spans="1:5" x14ac:dyDescent="0.25">
      <c r="A184" s="1">
        <v>45956</v>
      </c>
      <c r="B184">
        <v>2025</v>
      </c>
      <c r="C184">
        <v>10</v>
      </c>
      <c r="D184">
        <v>10</v>
      </c>
      <c r="E184" s="2" t="s">
        <v>443</v>
      </c>
    </row>
    <row r="185" spans="1:5" x14ac:dyDescent="0.25">
      <c r="A185" s="1">
        <v>45958</v>
      </c>
      <c r="B185">
        <v>2025</v>
      </c>
      <c r="C185">
        <v>10</v>
      </c>
      <c r="D185">
        <v>10</v>
      </c>
      <c r="E185" s="2" t="s">
        <v>443</v>
      </c>
    </row>
    <row r="186" spans="1:5" x14ac:dyDescent="0.25">
      <c r="A186" s="1">
        <v>45960</v>
      </c>
      <c r="B186">
        <v>2025</v>
      </c>
      <c r="C186">
        <v>10</v>
      </c>
      <c r="D186">
        <v>10</v>
      </c>
      <c r="E186" s="2" t="s">
        <v>443</v>
      </c>
    </row>
    <row r="187" spans="1:5" x14ac:dyDescent="0.25">
      <c r="A187" s="1">
        <v>45962</v>
      </c>
      <c r="B187">
        <v>2025</v>
      </c>
      <c r="C187">
        <v>11</v>
      </c>
      <c r="D187">
        <v>11</v>
      </c>
      <c r="E187" s="2" t="s">
        <v>444</v>
      </c>
    </row>
    <row r="188" spans="1:5" x14ac:dyDescent="0.25">
      <c r="A188" s="1">
        <v>45963</v>
      </c>
      <c r="B188">
        <v>2025</v>
      </c>
      <c r="C188">
        <v>11</v>
      </c>
      <c r="D188">
        <v>11</v>
      </c>
      <c r="E188" s="2" t="s">
        <v>444</v>
      </c>
    </row>
    <row r="189" spans="1:5" x14ac:dyDescent="0.25">
      <c r="A189" s="1">
        <v>45965</v>
      </c>
      <c r="B189">
        <v>2025</v>
      </c>
      <c r="C189">
        <v>11</v>
      </c>
      <c r="D189">
        <v>11</v>
      </c>
      <c r="E189" s="2" t="s">
        <v>444</v>
      </c>
    </row>
    <row r="190" spans="1:5" x14ac:dyDescent="0.25">
      <c r="A190" s="1">
        <v>45966</v>
      </c>
      <c r="B190">
        <v>2025</v>
      </c>
      <c r="C190">
        <v>11</v>
      </c>
      <c r="D190">
        <v>11</v>
      </c>
      <c r="E190" s="2" t="s">
        <v>444</v>
      </c>
    </row>
    <row r="191" spans="1:5" x14ac:dyDescent="0.25">
      <c r="A191" s="1">
        <v>45968</v>
      </c>
      <c r="B191">
        <v>2025</v>
      </c>
      <c r="C191">
        <v>11</v>
      </c>
      <c r="D191">
        <v>11</v>
      </c>
      <c r="E191" s="2" t="s">
        <v>444</v>
      </c>
    </row>
    <row r="192" spans="1:5" x14ac:dyDescent="0.25">
      <c r="A192" s="1">
        <v>45970</v>
      </c>
      <c r="B192">
        <v>2025</v>
      </c>
      <c r="C192">
        <v>11</v>
      </c>
      <c r="D192">
        <v>11</v>
      </c>
      <c r="E192" s="2" t="s">
        <v>444</v>
      </c>
    </row>
    <row r="193" spans="1:5" x14ac:dyDescent="0.25">
      <c r="A193" s="1">
        <v>45971</v>
      </c>
      <c r="B193">
        <v>2025</v>
      </c>
      <c r="C193">
        <v>11</v>
      </c>
      <c r="D193">
        <v>11</v>
      </c>
      <c r="E193" s="2" t="s">
        <v>444</v>
      </c>
    </row>
    <row r="194" spans="1:5" x14ac:dyDescent="0.25">
      <c r="A194" s="1">
        <v>45973</v>
      </c>
      <c r="B194">
        <v>2025</v>
      </c>
      <c r="C194">
        <v>11</v>
      </c>
      <c r="D194">
        <v>11</v>
      </c>
      <c r="E194" s="2" t="s">
        <v>444</v>
      </c>
    </row>
    <row r="195" spans="1:5" x14ac:dyDescent="0.25">
      <c r="A195" s="1">
        <v>45974</v>
      </c>
      <c r="B195">
        <v>2025</v>
      </c>
      <c r="C195">
        <v>11</v>
      </c>
      <c r="D195">
        <v>11</v>
      </c>
      <c r="E195" s="2" t="s">
        <v>444</v>
      </c>
    </row>
    <row r="196" spans="1:5" x14ac:dyDescent="0.25">
      <c r="A196" s="1">
        <v>45976</v>
      </c>
      <c r="B196">
        <v>2025</v>
      </c>
      <c r="C196">
        <v>11</v>
      </c>
      <c r="D196">
        <v>11</v>
      </c>
      <c r="E196" s="2" t="s">
        <v>444</v>
      </c>
    </row>
    <row r="197" spans="1:5" x14ac:dyDescent="0.25">
      <c r="A197" s="1">
        <v>45978</v>
      </c>
      <c r="B197">
        <v>2025</v>
      </c>
      <c r="C197">
        <v>11</v>
      </c>
      <c r="D197">
        <v>11</v>
      </c>
      <c r="E197" s="2" t="s">
        <v>444</v>
      </c>
    </row>
    <row r="198" spans="1:5" x14ac:dyDescent="0.25">
      <c r="A198" s="1">
        <v>45979</v>
      </c>
      <c r="B198">
        <v>2025</v>
      </c>
      <c r="C198">
        <v>11</v>
      </c>
      <c r="D198">
        <v>11</v>
      </c>
      <c r="E198" s="2" t="s">
        <v>444</v>
      </c>
    </row>
    <row r="199" spans="1:5" x14ac:dyDescent="0.25">
      <c r="A199" s="1">
        <v>45981</v>
      </c>
      <c r="B199">
        <v>2025</v>
      </c>
      <c r="C199">
        <v>11</v>
      </c>
      <c r="D199">
        <v>11</v>
      </c>
      <c r="E199" s="2" t="s">
        <v>444</v>
      </c>
    </row>
    <row r="200" spans="1:5" x14ac:dyDescent="0.25">
      <c r="A200" s="1">
        <v>45983</v>
      </c>
      <c r="B200">
        <v>2025</v>
      </c>
      <c r="C200">
        <v>11</v>
      </c>
      <c r="D200">
        <v>11</v>
      </c>
      <c r="E200" s="2" t="s">
        <v>444</v>
      </c>
    </row>
    <row r="201" spans="1:5" x14ac:dyDescent="0.25">
      <c r="A201" s="1">
        <v>45984</v>
      </c>
      <c r="B201">
        <v>2025</v>
      </c>
      <c r="C201">
        <v>11</v>
      </c>
      <c r="D201">
        <v>11</v>
      </c>
      <c r="E201" s="2" t="s">
        <v>444</v>
      </c>
    </row>
    <row r="202" spans="1:5" x14ac:dyDescent="0.25">
      <c r="A202" s="1">
        <v>45986</v>
      </c>
      <c r="B202">
        <v>2025</v>
      </c>
      <c r="C202">
        <v>11</v>
      </c>
      <c r="D202">
        <v>11</v>
      </c>
      <c r="E202" s="2" t="s">
        <v>444</v>
      </c>
    </row>
    <row r="203" spans="1:5" x14ac:dyDescent="0.25">
      <c r="A203" s="1">
        <v>45987</v>
      </c>
      <c r="B203">
        <v>2025</v>
      </c>
      <c r="C203">
        <v>11</v>
      </c>
      <c r="D203">
        <v>11</v>
      </c>
      <c r="E203" s="2" t="s">
        <v>444</v>
      </c>
    </row>
    <row r="204" spans="1:5" x14ac:dyDescent="0.25">
      <c r="A204" s="1">
        <v>45989</v>
      </c>
      <c r="B204">
        <v>2025</v>
      </c>
      <c r="C204">
        <v>11</v>
      </c>
      <c r="D204">
        <v>11</v>
      </c>
      <c r="E204" s="2" t="s">
        <v>444</v>
      </c>
    </row>
    <row r="205" spans="1:5" x14ac:dyDescent="0.25">
      <c r="A205" s="1">
        <v>45991</v>
      </c>
      <c r="B205">
        <v>2025</v>
      </c>
      <c r="C205">
        <v>11</v>
      </c>
      <c r="D205">
        <v>11</v>
      </c>
      <c r="E205" s="2" t="s">
        <v>444</v>
      </c>
    </row>
    <row r="206" spans="1:5" x14ac:dyDescent="0.25">
      <c r="A206" s="1">
        <v>45992</v>
      </c>
      <c r="B206">
        <v>2025</v>
      </c>
      <c r="C206">
        <v>12</v>
      </c>
      <c r="D206">
        <v>12</v>
      </c>
      <c r="E206" s="2" t="s">
        <v>445</v>
      </c>
    </row>
    <row r="207" spans="1:5" x14ac:dyDescent="0.25">
      <c r="A207" s="1">
        <v>45994</v>
      </c>
      <c r="B207">
        <v>2025</v>
      </c>
      <c r="C207">
        <v>12</v>
      </c>
      <c r="D207">
        <v>12</v>
      </c>
      <c r="E207" s="2" t="s">
        <v>445</v>
      </c>
    </row>
    <row r="208" spans="1:5" x14ac:dyDescent="0.25">
      <c r="A208" s="1">
        <v>45996</v>
      </c>
      <c r="B208">
        <v>2025</v>
      </c>
      <c r="C208">
        <v>12</v>
      </c>
      <c r="D208">
        <v>12</v>
      </c>
      <c r="E208" s="2" t="s">
        <v>445</v>
      </c>
    </row>
    <row r="209" spans="1:5" x14ac:dyDescent="0.25">
      <c r="A209" s="1">
        <v>45997</v>
      </c>
      <c r="B209">
        <v>2025</v>
      </c>
      <c r="C209">
        <v>12</v>
      </c>
      <c r="D209">
        <v>12</v>
      </c>
      <c r="E209" s="2" t="s">
        <v>445</v>
      </c>
    </row>
    <row r="210" spans="1:5" x14ac:dyDescent="0.25">
      <c r="A210" s="1">
        <v>45999</v>
      </c>
      <c r="B210">
        <v>2025</v>
      </c>
      <c r="C210">
        <v>12</v>
      </c>
      <c r="D210">
        <v>12</v>
      </c>
      <c r="E210" s="2" t="s">
        <v>445</v>
      </c>
    </row>
    <row r="211" spans="1:5" x14ac:dyDescent="0.25">
      <c r="A211" s="1">
        <v>46001</v>
      </c>
      <c r="B211">
        <v>2025</v>
      </c>
      <c r="C211">
        <v>12</v>
      </c>
      <c r="D211">
        <v>12</v>
      </c>
      <c r="E211" s="2" t="s">
        <v>445</v>
      </c>
    </row>
    <row r="212" spans="1:5" x14ac:dyDescent="0.25">
      <c r="A212" s="1">
        <v>46002</v>
      </c>
      <c r="B212">
        <v>2025</v>
      </c>
      <c r="C212">
        <v>12</v>
      </c>
      <c r="D212">
        <v>12</v>
      </c>
      <c r="E212" s="2" t="s">
        <v>445</v>
      </c>
    </row>
    <row r="213" spans="1:5" x14ac:dyDescent="0.25">
      <c r="A213" s="1">
        <v>46004</v>
      </c>
      <c r="B213">
        <v>2025</v>
      </c>
      <c r="C213">
        <v>12</v>
      </c>
      <c r="D213">
        <v>12</v>
      </c>
      <c r="E213" s="2" t="s">
        <v>445</v>
      </c>
    </row>
    <row r="214" spans="1:5" x14ac:dyDescent="0.25">
      <c r="A214" s="1">
        <v>46006</v>
      </c>
      <c r="B214">
        <v>2025</v>
      </c>
      <c r="C214">
        <v>12</v>
      </c>
      <c r="D214">
        <v>12</v>
      </c>
      <c r="E214" s="2" t="s">
        <v>445</v>
      </c>
    </row>
    <row r="215" spans="1:5" x14ac:dyDescent="0.25">
      <c r="A215" s="1">
        <v>46007</v>
      </c>
      <c r="B215">
        <v>2025</v>
      </c>
      <c r="C215">
        <v>12</v>
      </c>
      <c r="D215">
        <v>12</v>
      </c>
      <c r="E215" s="2" t="s">
        <v>445</v>
      </c>
    </row>
    <row r="216" spans="1:5" x14ac:dyDescent="0.25">
      <c r="A216" s="1">
        <v>46009</v>
      </c>
      <c r="B216">
        <v>2025</v>
      </c>
      <c r="C216">
        <v>12</v>
      </c>
      <c r="D216">
        <v>12</v>
      </c>
      <c r="E216" s="2" t="s">
        <v>445</v>
      </c>
    </row>
    <row r="217" spans="1:5" x14ac:dyDescent="0.25">
      <c r="A217" s="1">
        <v>46011</v>
      </c>
      <c r="B217">
        <v>2025</v>
      </c>
      <c r="C217">
        <v>12</v>
      </c>
      <c r="D217">
        <v>12</v>
      </c>
      <c r="E217" s="2" t="s">
        <v>445</v>
      </c>
    </row>
    <row r="218" spans="1:5" x14ac:dyDescent="0.25">
      <c r="A218" s="1">
        <v>46012</v>
      </c>
      <c r="B218">
        <v>2025</v>
      </c>
      <c r="C218">
        <v>12</v>
      </c>
      <c r="D218">
        <v>12</v>
      </c>
      <c r="E218" s="2" t="s">
        <v>445</v>
      </c>
    </row>
    <row r="219" spans="1:5" x14ac:dyDescent="0.25">
      <c r="A219" s="1">
        <v>46014</v>
      </c>
      <c r="B219">
        <v>2025</v>
      </c>
      <c r="C219">
        <v>12</v>
      </c>
      <c r="D219">
        <v>12</v>
      </c>
      <c r="E219" s="2" t="s">
        <v>445</v>
      </c>
    </row>
    <row r="220" spans="1:5" x14ac:dyDescent="0.25">
      <c r="A220" s="1">
        <v>46016</v>
      </c>
      <c r="B220">
        <v>2025</v>
      </c>
      <c r="C220">
        <v>12</v>
      </c>
      <c r="D220">
        <v>12</v>
      </c>
      <c r="E220" s="2" t="s">
        <v>445</v>
      </c>
    </row>
    <row r="221" spans="1:5" x14ac:dyDescent="0.25">
      <c r="A221" s="1">
        <v>46017</v>
      </c>
      <c r="B221">
        <v>2025</v>
      </c>
      <c r="C221">
        <v>12</v>
      </c>
      <c r="D221">
        <v>12</v>
      </c>
      <c r="E221" s="2" t="s">
        <v>445</v>
      </c>
    </row>
    <row r="222" spans="1:5" x14ac:dyDescent="0.25">
      <c r="A222" s="1">
        <v>46019</v>
      </c>
      <c r="B222">
        <v>2025</v>
      </c>
      <c r="C222">
        <v>12</v>
      </c>
      <c r="D222">
        <v>12</v>
      </c>
      <c r="E222" s="2" t="s">
        <v>445</v>
      </c>
    </row>
    <row r="223" spans="1:5" x14ac:dyDescent="0.25">
      <c r="A223" s="1">
        <v>46021</v>
      </c>
      <c r="B223">
        <v>2025</v>
      </c>
      <c r="C223">
        <v>12</v>
      </c>
      <c r="D223">
        <v>12</v>
      </c>
      <c r="E223" s="2" t="s">
        <v>445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C7FE-90C8-4AAD-9786-95334FBB9C3B}">
  <dimension ref="A1:A8"/>
  <sheetViews>
    <sheetView workbookViewId="0">
      <selection activeCell="A5" sqref="A5"/>
    </sheetView>
  </sheetViews>
  <sheetFormatPr defaultRowHeight="15" x14ac:dyDescent="0.25"/>
  <cols>
    <col min="1" max="1" width="13.5703125" customWidth="1"/>
  </cols>
  <sheetData>
    <row r="1" spans="1:1" x14ac:dyDescent="0.25">
      <c r="A1" t="s">
        <v>431</v>
      </c>
    </row>
    <row r="2" spans="1:1" x14ac:dyDescent="0.25">
      <c r="A2" t="s">
        <v>27</v>
      </c>
    </row>
    <row r="3" spans="1:1" x14ac:dyDescent="0.25">
      <c r="A3" t="s">
        <v>36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44</v>
      </c>
    </row>
    <row r="8" spans="1:1" x14ac:dyDescent="0.25">
      <c r="A8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9F8BFD9-D685-4E70-9FAE-CE4DDE515164}">
  <ds:schemaRefs/>
</ds:datastoreItem>
</file>

<file path=customXml/itemProps2.xml><?xml version="1.0" encoding="utf-8"?>
<ds:datastoreItem xmlns:ds="http://schemas.openxmlformats.org/officeDocument/2006/customXml" ds:itemID="{B5EFE1EC-4116-427A-8D9D-5E498F9333A7}">
  <ds:schemaRefs/>
</ds:datastoreItem>
</file>

<file path=customXml/itemProps3.xml><?xml version="1.0" encoding="utf-8"?>
<ds:datastoreItem xmlns:ds="http://schemas.openxmlformats.org/officeDocument/2006/customXml" ds:itemID="{BA1DCB8F-DF32-49D9-8420-04285FF1984E}">
  <ds:schemaRefs/>
</ds:datastoreItem>
</file>

<file path=customXml/itemProps4.xml><?xml version="1.0" encoding="utf-8"?>
<ds:datastoreItem xmlns:ds="http://schemas.openxmlformats.org/officeDocument/2006/customXml" ds:itemID="{DD34594F-94D7-4C73-9039-A53AB8A7A775}">
  <ds:schemaRefs/>
</ds:datastoreItem>
</file>

<file path=customXml/itemProps5.xml><?xml version="1.0" encoding="utf-8"?>
<ds:datastoreItem xmlns:ds="http://schemas.openxmlformats.org/officeDocument/2006/customXml" ds:itemID="{1E6DA877-C520-4945-8D3D-A9233E9AEE56}">
  <ds:schemaRefs/>
</ds:datastoreItem>
</file>

<file path=customXml/itemProps6.xml><?xml version="1.0" encoding="utf-8"?>
<ds:datastoreItem xmlns:ds="http://schemas.openxmlformats.org/officeDocument/2006/customXml" ds:itemID="{B18B316A-67B1-4EA8-A2B6-1EEE05ED9B13}">
  <ds:schemaRefs/>
</ds:datastoreItem>
</file>

<file path=customXml/itemProps7.xml><?xml version="1.0" encoding="utf-8"?>
<ds:datastoreItem xmlns:ds="http://schemas.openxmlformats.org/officeDocument/2006/customXml" ds:itemID="{7078A1FB-E414-4DE6-81ED-471BB22C603F}">
  <ds:schemaRefs/>
</ds:datastoreItem>
</file>

<file path=customXml/itemProps8.xml><?xml version="1.0" encoding="utf-8"?>
<ds:datastoreItem xmlns:ds="http://schemas.openxmlformats.org/officeDocument/2006/customXml" ds:itemID="{30ECC207-EA20-47F8-B6EF-03D4018A3595}">
  <ds:schemaRefs/>
</ds:datastoreItem>
</file>

<file path=customXml/itemProps9.xml><?xml version="1.0" encoding="utf-8"?>
<ds:datastoreItem xmlns:ds="http://schemas.openxmlformats.org/officeDocument/2006/customXml" ds:itemID="{0F2E976B-5DEF-41AD-B2DC-8A13EC2CC1EA}">
  <ds:schemaRefs/>
</ds:datastoreItem>
</file>

<file path=customXml/itemProps10.xml><?xml version="1.0" encoding="utf-8"?>
<ds:datastoreItem xmlns:ds="http://schemas.openxmlformats.org/officeDocument/2006/customXml" ds:itemID="{99F65D6F-4723-4804-BBE3-82587790C751}">
  <ds:schemaRefs/>
</ds:datastoreItem>
</file>

<file path=customXml/itemProps11.xml><?xml version="1.0" encoding="utf-8"?>
<ds:datastoreItem xmlns:ds="http://schemas.openxmlformats.org/officeDocument/2006/customXml" ds:itemID="{36EF531A-AA4B-4E98-8EE4-91DA51A648CA}">
  <ds:schemaRefs/>
</ds:datastoreItem>
</file>

<file path=customXml/itemProps12.xml><?xml version="1.0" encoding="utf-8"?>
<ds:datastoreItem xmlns:ds="http://schemas.openxmlformats.org/officeDocument/2006/customXml" ds:itemID="{4C044C08-F52C-4072-9344-9FCA3204F637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E128D5BA-BD08-4416-989C-13758048FC0B}">
  <ds:schemaRefs/>
</ds:datastoreItem>
</file>

<file path=customXml/itemProps14.xml><?xml version="1.0" encoding="utf-8"?>
<ds:datastoreItem xmlns:ds="http://schemas.openxmlformats.org/officeDocument/2006/customXml" ds:itemID="{9876E19E-6E54-42F1-9256-2FAB88B0523D}">
  <ds:schemaRefs/>
</ds:datastoreItem>
</file>

<file path=customXml/itemProps15.xml><?xml version="1.0" encoding="utf-8"?>
<ds:datastoreItem xmlns:ds="http://schemas.openxmlformats.org/officeDocument/2006/customXml" ds:itemID="{D649536E-1C98-40CD-81E9-768A28A3CA4F}">
  <ds:schemaRefs/>
</ds:datastoreItem>
</file>

<file path=customXml/itemProps16.xml><?xml version="1.0" encoding="utf-8"?>
<ds:datastoreItem xmlns:ds="http://schemas.openxmlformats.org/officeDocument/2006/customXml" ds:itemID="{29E6DDBD-1566-487F-9BBD-C2CC670C34D2}">
  <ds:schemaRefs/>
</ds:datastoreItem>
</file>

<file path=customXml/itemProps17.xml><?xml version="1.0" encoding="utf-8"?>
<ds:datastoreItem xmlns:ds="http://schemas.openxmlformats.org/officeDocument/2006/customXml" ds:itemID="{57BC3A6D-313C-41D0-BE44-31B02429F1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Analises</vt:lpstr>
      <vt:lpstr>Dashboard</vt:lpstr>
      <vt:lpstr>Insights</vt:lpstr>
      <vt:lpstr>fContratos</vt:lpstr>
      <vt:lpstr>dCalendario</vt:lpstr>
      <vt:lpstr>dOperador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Leite</dc:creator>
  <cp:lastModifiedBy>Gabriel Leite</cp:lastModifiedBy>
  <dcterms:created xsi:type="dcterms:W3CDTF">2015-06-05T18:19:34Z</dcterms:created>
  <dcterms:modified xsi:type="dcterms:W3CDTF">2026-05-19T03:38:50Z</dcterms:modified>
</cp:coreProperties>
</file>