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E6F1624B-5901-4329-BA2E-2F7ACECF8EDC}" xr6:coauthVersionLast="47" xr6:coauthVersionMax="47" xr10:uidLastSave="{00000000-0000-0000-0000-000000000000}"/>
  <bookViews>
    <workbookView xWindow="9750" yWindow="3675" windowWidth="28800" windowHeight="10725" xr2:uid="{00000000-000D-0000-FFFF-FFFF00000000}"/>
  </bookViews>
  <sheets>
    <sheet name="Plan1" sheetId="1" r:id="rId1"/>
    <sheet name="Plan2" sheetId="2" r:id="rId2"/>
    <sheet name="Plan3" sheetId="3" r:id="rId3"/>
  </sheets>
  <externalReferences>
    <externalReference r:id="rId4"/>
  </externalReferences>
  <definedNames>
    <definedName name="_xlnm._FilterDatabase" localSheetId="0" hidden="1">Plan1!$A$1:$BF$228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8" i="1" l="1"/>
  <c r="S227" i="1" l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6" i="1"/>
  <c r="S65" i="1"/>
  <c r="S64" i="1"/>
  <c r="S63" i="1"/>
  <c r="S62" i="1"/>
  <c r="S61" i="1"/>
  <c r="S60" i="1"/>
  <c r="S59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1" i="1"/>
  <c r="S10" i="1"/>
  <c r="S9" i="1"/>
  <c r="S8" i="1"/>
  <c r="S7" i="1"/>
  <c r="S6" i="1"/>
  <c r="S5" i="1"/>
  <c r="S4" i="1"/>
  <c r="S3" i="1"/>
</calcChain>
</file>

<file path=xl/sharedStrings.xml><?xml version="1.0" encoding="utf-8"?>
<sst xmlns="http://schemas.openxmlformats.org/spreadsheetml/2006/main" count="3321" uniqueCount="430">
  <si>
    <t>DATA LANC.</t>
  </si>
  <si>
    <t>RETORNO CIP</t>
  </si>
  <si>
    <t>OPERADOR</t>
  </si>
  <si>
    <t>TIPO DE BENEFICIO</t>
  </si>
  <si>
    <t>CPF</t>
  </si>
  <si>
    <t>NOME</t>
  </si>
  <si>
    <t>Nº CONTRATO</t>
  </si>
  <si>
    <t>TIPO CONT.</t>
  </si>
  <si>
    <t xml:space="preserve">BANCO </t>
  </si>
  <si>
    <t>USUÁRIO</t>
  </si>
  <si>
    <t>STATUS</t>
  </si>
  <si>
    <t>DT. ANÁLISE</t>
  </si>
  <si>
    <t>Status Detalhado</t>
  </si>
  <si>
    <t>PRAZO</t>
  </si>
  <si>
    <t>PARCELA REDUZIDA</t>
  </si>
  <si>
    <t>PARCELA ORIGINAL</t>
  </si>
  <si>
    <t>VLR BRUTO</t>
  </si>
  <si>
    <t>SALDO DEV.</t>
  </si>
  <si>
    <t>VLR LÍQUIDO</t>
  </si>
  <si>
    <t>TABELA</t>
  </si>
  <si>
    <t>RENTABILIDADE</t>
  </si>
  <si>
    <t>TOTAL (R$)</t>
  </si>
  <si>
    <t>DT AVERB.</t>
  </si>
  <si>
    <t>FF - JCV</t>
  </si>
  <si>
    <t>---</t>
  </si>
  <si>
    <t>INSS</t>
  </si>
  <si>
    <t>NOVO (REDUÇÃO)</t>
  </si>
  <si>
    <t>SAFRA</t>
  </si>
  <si>
    <t>CANCELADO</t>
  </si>
  <si>
    <t xml:space="preserve"> </t>
  </si>
  <si>
    <t>REFIN (REDUÇÃO)</t>
  </si>
  <si>
    <t>PORT (REDUÇÃO)</t>
  </si>
  <si>
    <t>AG. ASS. DIG</t>
  </si>
  <si>
    <t>DANIELE</t>
  </si>
  <si>
    <t>EM NEGOCIAÇÃO</t>
  </si>
  <si>
    <t>ALEXANDRE</t>
  </si>
  <si>
    <t>ANA JULIA</t>
  </si>
  <si>
    <t>REFIN (JUN + RED)</t>
  </si>
  <si>
    <t>REFIN DE PORT (REDUÇÃO)</t>
  </si>
  <si>
    <t>PAN</t>
  </si>
  <si>
    <t>BRADESCO</t>
  </si>
  <si>
    <t>DIGITAR</t>
  </si>
  <si>
    <t>AVERBADO</t>
  </si>
  <si>
    <t>SAQUE COMP.</t>
  </si>
  <si>
    <t>BMG</t>
  </si>
  <si>
    <t>PENDENTE</t>
  </si>
  <si>
    <t>ITAU BMG</t>
  </si>
  <si>
    <t>CARTÃO S/SAQUE</t>
  </si>
  <si>
    <t>EM ANÁLISE</t>
  </si>
  <si>
    <t>AGUARD. CIP</t>
  </si>
  <si>
    <t>SALDO PAGO</t>
  </si>
  <si>
    <t>NOVO</t>
  </si>
  <si>
    <t>DAYCOVAL</t>
  </si>
  <si>
    <t>GOV SP</t>
  </si>
  <si>
    <t>OLÉ</t>
  </si>
  <si>
    <t>C6 BANK</t>
  </si>
  <si>
    <t>CARTÃO C/SAQUE</t>
  </si>
  <si>
    <t>MARGEM 5%</t>
  </si>
  <si>
    <t>REFIN</t>
  </si>
  <si>
    <t>MARIA</t>
  </si>
  <si>
    <t>AMANDA</t>
  </si>
  <si>
    <t>PEDRO</t>
  </si>
  <si>
    <t>CLAUDIO</t>
  </si>
  <si>
    <t>889.757.507-77</t>
  </si>
  <si>
    <t>JOSÉ DA SILVA SANTOS</t>
  </si>
  <si>
    <t>SF-100001</t>
  </si>
  <si>
    <t>379.981.168-14</t>
  </si>
  <si>
    <t>MARIA APARECIDA OLIVEIRA</t>
  </si>
  <si>
    <t>SF-100002</t>
  </si>
  <si>
    <t>463.115.167-03</t>
  </si>
  <si>
    <t>ROSA MARIA CARDOSO</t>
  </si>
  <si>
    <t>SF-100003</t>
  </si>
  <si>
    <t>181.372.091-69</t>
  </si>
  <si>
    <t>FRANCISCA DE SOUZA LIMA</t>
  </si>
  <si>
    <t>SF-100004</t>
  </si>
  <si>
    <t>360.047.834-19</t>
  </si>
  <si>
    <t>JOÃO BATISTA FERREIRA</t>
  </si>
  <si>
    <t>SF-100005</t>
  </si>
  <si>
    <t>635.575.794-63</t>
  </si>
  <si>
    <t>ANA LÚCIA RODRIGUES</t>
  </si>
  <si>
    <t>SF-100006</t>
  </si>
  <si>
    <t>651.400.432-90</t>
  </si>
  <si>
    <t>LUIZ CARLOS ALMEIDA</t>
  </si>
  <si>
    <t>SF-100007</t>
  </si>
  <si>
    <t>335.511.472-45</t>
  </si>
  <si>
    <t>CLAUDETE FERNANDES COSTA</t>
  </si>
  <si>
    <t>SF-100008</t>
  </si>
  <si>
    <t>488.012.471-10</t>
  </si>
  <si>
    <t>PAULO ROBERTO MARTINS</t>
  </si>
  <si>
    <t>SF-100009</t>
  </si>
  <si>
    <t>845.895.485-26</t>
  </si>
  <si>
    <t>TEREZINHA DE JESUS RIBEIRO</t>
  </si>
  <si>
    <t>SF-100010</t>
  </si>
  <si>
    <t>958.177.537-57</t>
  </si>
  <si>
    <t>CARLOS EDUARDO BARBOSA</t>
  </si>
  <si>
    <t>SF-100011</t>
  </si>
  <si>
    <t>775.282.586-12</t>
  </si>
  <si>
    <t>CONCEIÇÃO APARECIDA DIAS</t>
  </si>
  <si>
    <t>SF-100012</t>
  </si>
  <si>
    <t>328.804.696-12</t>
  </si>
  <si>
    <t>MANOEL FRANCISCO GOMES</t>
  </si>
  <si>
    <t>SF-100013</t>
  </si>
  <si>
    <t>PN-100001</t>
  </si>
  <si>
    <t>PN-100002</t>
  </si>
  <si>
    <t>836.292.520-15</t>
  </si>
  <si>
    <t>DIRCE MARIA CAMPOS</t>
  </si>
  <si>
    <t>PN-100003</t>
  </si>
  <si>
    <t>PN-100004</t>
  </si>
  <si>
    <t>138.167.709-38</t>
  </si>
  <si>
    <t>LUZIA HELENA MOREIRA</t>
  </si>
  <si>
    <t>PN-100005</t>
  </si>
  <si>
    <t>736.526.833-90</t>
  </si>
  <si>
    <t>BENEDITO CARLOS ARAÚJO</t>
  </si>
  <si>
    <t>PN-100006</t>
  </si>
  <si>
    <t>239.742.164-93</t>
  </si>
  <si>
    <t>MARLENE DE FÁTIMA PINTO</t>
  </si>
  <si>
    <t>PN-100007</t>
  </si>
  <si>
    <t>PN-100008</t>
  </si>
  <si>
    <t>SF-100014</t>
  </si>
  <si>
    <t>196.119.707-30</t>
  </si>
  <si>
    <t>DURVAL ANTÔNIO MACHADO</t>
  </si>
  <si>
    <t>SF-100015</t>
  </si>
  <si>
    <t>425.490.298-25</t>
  </si>
  <si>
    <t>EDNA APARECIDA SOARES</t>
  </si>
  <si>
    <t>BR-100001</t>
  </si>
  <si>
    <t>471.232.622-00</t>
  </si>
  <si>
    <t>GERALDO MAGELA TEIXEIRA</t>
  </si>
  <si>
    <t>PN-100009</t>
  </si>
  <si>
    <t>591.568.765-43</t>
  </si>
  <si>
    <t>IVONE DA CONCEIÇÃO MELO</t>
  </si>
  <si>
    <t>PN-100010</t>
  </si>
  <si>
    <t>811.025.517-81</t>
  </si>
  <si>
    <t>HÉLIO PEREIRA DA CRUZ</t>
  </si>
  <si>
    <t>PN-100011</t>
  </si>
  <si>
    <t>SF-100016</t>
  </si>
  <si>
    <t>089.554.706-08</t>
  </si>
  <si>
    <t>ALCIDES FERREIRA NETO</t>
  </si>
  <si>
    <t>PN-100012</t>
  </si>
  <si>
    <t>983.669.381-38</t>
  </si>
  <si>
    <t>NAIR DOS SANTOS BORGES</t>
  </si>
  <si>
    <t>PN-100013</t>
  </si>
  <si>
    <t>PN-100014</t>
  </si>
  <si>
    <t>702.351.082-03</t>
  </si>
  <si>
    <t>NEUSA TEREZINHA CASTRO</t>
  </si>
  <si>
    <t>PN-100015</t>
  </si>
  <si>
    <t>BM-100001</t>
  </si>
  <si>
    <t>373.297.437-52</t>
  </si>
  <si>
    <t>CÉLIA REGINA CAVALCANTE</t>
  </si>
  <si>
    <t>PN-100016</t>
  </si>
  <si>
    <t>872.356.738-46</t>
  </si>
  <si>
    <t>ANTÔNIO MARCOS RAMOS</t>
  </si>
  <si>
    <t>IT-100001</t>
  </si>
  <si>
    <t>298.342.563-27</t>
  </si>
  <si>
    <t>MARIA DAS GRAÇAS LEAL</t>
  </si>
  <si>
    <t>IT-100002</t>
  </si>
  <si>
    <t>582.384.950-03</t>
  </si>
  <si>
    <t>ORLANDO BATISTA NOGUEIRA</t>
  </si>
  <si>
    <t>PN-100017</t>
  </si>
  <si>
    <t>187.382.040-51</t>
  </si>
  <si>
    <t>VERA LÚCIA MONTEIRO</t>
  </si>
  <si>
    <t>PN-100018</t>
  </si>
  <si>
    <t>742.601.274-99</t>
  </si>
  <si>
    <t>WALTER LUIZ DE PAULA</t>
  </si>
  <si>
    <t>PN-100019</t>
  </si>
  <si>
    <t>PN-100020</t>
  </si>
  <si>
    <t>920.289.568-31</t>
  </si>
  <si>
    <t>EDUARDO SANTANA FILHO</t>
  </si>
  <si>
    <t>PN-100021</t>
  </si>
  <si>
    <t>105.304.772-76</t>
  </si>
  <si>
    <t>HELENA MARIA BARROS</t>
  </si>
  <si>
    <t>PN-100022</t>
  </si>
  <si>
    <t>290.954.711-19</t>
  </si>
  <si>
    <t>RICARDO PEREIRA GONÇALVES</t>
  </si>
  <si>
    <t>PN-100023</t>
  </si>
  <si>
    <t>PN-100024</t>
  </si>
  <si>
    <t>134.926.533-42</t>
  </si>
  <si>
    <t>MÁRIO ROBERTO MAGALHÃES</t>
  </si>
  <si>
    <t>PN-100025</t>
  </si>
  <si>
    <t>992.757.262-97</t>
  </si>
  <si>
    <t>CLEUSA MARIA DA SILVA</t>
  </si>
  <si>
    <t>SF-100017</t>
  </si>
  <si>
    <t>100.811.864-38</t>
  </si>
  <si>
    <t>NIVALDO DE SOUZA REIS</t>
  </si>
  <si>
    <t>SF-100018</t>
  </si>
  <si>
    <t>293.103.404-43</t>
  </si>
  <si>
    <t>DALVA MARIA TORRES</t>
  </si>
  <si>
    <t>PN-100026</t>
  </si>
  <si>
    <t>PN-100027</t>
  </si>
  <si>
    <t>770.868.654-78</t>
  </si>
  <si>
    <t>MERCEDES APARECIDA DUARTE</t>
  </si>
  <si>
    <t>BM-100002</t>
  </si>
  <si>
    <t>148.421.749-55</t>
  </si>
  <si>
    <t>SF-100019</t>
  </si>
  <si>
    <t>809.180.333-79</t>
  </si>
  <si>
    <t>SF-100020</t>
  </si>
  <si>
    <t>BM-100003</t>
  </si>
  <si>
    <t>237.515.206-04</t>
  </si>
  <si>
    <t>BR-100002</t>
  </si>
  <si>
    <t>226.932.065-05</t>
  </si>
  <si>
    <t>BR-100003</t>
  </si>
  <si>
    <t>BR-100004</t>
  </si>
  <si>
    <t>323.862.559-76</t>
  </si>
  <si>
    <t>BR-100005</t>
  </si>
  <si>
    <t>701.275.722-60</t>
  </si>
  <si>
    <t>BR-100006</t>
  </si>
  <si>
    <t>644.149.229-30</t>
  </si>
  <si>
    <t>BR-100007</t>
  </si>
  <si>
    <t>884.007.054-26</t>
  </si>
  <si>
    <t>BR-100008</t>
  </si>
  <si>
    <t>998.574.880-18</t>
  </si>
  <si>
    <t>BR-100009</t>
  </si>
  <si>
    <t>880.349.039-38</t>
  </si>
  <si>
    <t>SF-100021</t>
  </si>
  <si>
    <t>355.717.458-91</t>
  </si>
  <si>
    <t>SF-100022</t>
  </si>
  <si>
    <t>354.687.005-16</t>
  </si>
  <si>
    <t>PN-100028</t>
  </si>
  <si>
    <t>120.177.811-68</t>
  </si>
  <si>
    <t>SEBASTIÃO PEREIRA NUNES</t>
  </si>
  <si>
    <t>PN-100029</t>
  </si>
  <si>
    <t>501.536.316-56</t>
  </si>
  <si>
    <t>PN-100030</t>
  </si>
  <si>
    <t>PN-100031</t>
  </si>
  <si>
    <t>BR-100010</t>
  </si>
  <si>
    <t>099.941.394-67</t>
  </si>
  <si>
    <t>BR-100011</t>
  </si>
  <si>
    <t>PN-100032</t>
  </si>
  <si>
    <t>PN-100033</t>
  </si>
  <si>
    <t>275.588.948-80</t>
  </si>
  <si>
    <t>PN-100034</t>
  </si>
  <si>
    <t>PN-100035</t>
  </si>
  <si>
    <t>663.359.599-65</t>
  </si>
  <si>
    <t>PN-100036</t>
  </si>
  <si>
    <t>804.912.733-51</t>
  </si>
  <si>
    <t>SF-100023</t>
  </si>
  <si>
    <t>124.258.428-97</t>
  </si>
  <si>
    <t>SF-100024</t>
  </si>
  <si>
    <t>247.098.969-29</t>
  </si>
  <si>
    <t>SF-100025</t>
  </si>
  <si>
    <t>442.700.326-56</t>
  </si>
  <si>
    <t>SÔNIA REGINA VIEIRA</t>
  </si>
  <si>
    <t>SF-100026</t>
  </si>
  <si>
    <t>595.174.857-05</t>
  </si>
  <si>
    <t>SF-100027</t>
  </si>
  <si>
    <t>814.164.199-14</t>
  </si>
  <si>
    <t>SF-100028</t>
  </si>
  <si>
    <t>SF-100029</t>
  </si>
  <si>
    <t>BR-100012</t>
  </si>
  <si>
    <t>346.057.471-94</t>
  </si>
  <si>
    <t>ANTÔNIO CARLOS PEREIRA</t>
  </si>
  <si>
    <t>BR-100013</t>
  </si>
  <si>
    <t>PN-100037</t>
  </si>
  <si>
    <t>PN-100038</t>
  </si>
  <si>
    <t>PN-100039</t>
  </si>
  <si>
    <t>PN-100040</t>
  </si>
  <si>
    <t>PN-100041</t>
  </si>
  <si>
    <t>PN-100042</t>
  </si>
  <si>
    <t>PN-100043</t>
  </si>
  <si>
    <t>344.582.273-75</t>
  </si>
  <si>
    <t>ADEMAR JOSÉ DOS SANTOS</t>
  </si>
  <si>
    <t>PN-100044</t>
  </si>
  <si>
    <t>PN-100045</t>
  </si>
  <si>
    <t>PN-100046</t>
  </si>
  <si>
    <t>PN-100047</t>
  </si>
  <si>
    <t>PN-100048</t>
  </si>
  <si>
    <t>PN-100049</t>
  </si>
  <si>
    <t>PN-100050</t>
  </si>
  <si>
    <t>PN-100051</t>
  </si>
  <si>
    <t>PN-100052</t>
  </si>
  <si>
    <t>PN-100053</t>
  </si>
  <si>
    <t>PN-100054</t>
  </si>
  <si>
    <t>PN-100055</t>
  </si>
  <si>
    <t>PN-100056</t>
  </si>
  <si>
    <t>PN-100057</t>
  </si>
  <si>
    <t>PN-100058</t>
  </si>
  <si>
    <t>PN-100059</t>
  </si>
  <si>
    <t>PN-100060</t>
  </si>
  <si>
    <t>429.827.439-67</t>
  </si>
  <si>
    <t>PN-100061</t>
  </si>
  <si>
    <t>BR-100014</t>
  </si>
  <si>
    <t>BR-100015</t>
  </si>
  <si>
    <t>101.699.849-29</t>
  </si>
  <si>
    <t>DJALMA ROBERTO MENDES</t>
  </si>
  <si>
    <t>SF-100030</t>
  </si>
  <si>
    <t>328.525.175-41</t>
  </si>
  <si>
    <t>ZILDA APARECIDA FREITAS</t>
  </si>
  <si>
    <t>SF-100031</t>
  </si>
  <si>
    <t>197.990.184-22</t>
  </si>
  <si>
    <t>WALDEMAR PEREIRA SOBRINHO</t>
  </si>
  <si>
    <t>PN-100062</t>
  </si>
  <si>
    <t>PN-100063</t>
  </si>
  <si>
    <t>BR-100016</t>
  </si>
  <si>
    <t>BR-100017</t>
  </si>
  <si>
    <t>BR-100018</t>
  </si>
  <si>
    <t>BR-100019</t>
  </si>
  <si>
    <t>BR-100020</t>
  </si>
  <si>
    <t>302.318.852-37</t>
  </si>
  <si>
    <t>IRENE FÁTIMA QUEIROZ</t>
  </si>
  <si>
    <t>BR-100021</t>
  </si>
  <si>
    <t>BR-100022</t>
  </si>
  <si>
    <t>PN-100064</t>
  </si>
  <si>
    <t>PN-100065</t>
  </si>
  <si>
    <t>746.514.957-41</t>
  </si>
  <si>
    <t>SUELI APARECIDA PRADO</t>
  </si>
  <si>
    <t>PN-100066</t>
  </si>
  <si>
    <t>BR-100023</t>
  </si>
  <si>
    <t>BR-100024</t>
  </si>
  <si>
    <t>BR-100025</t>
  </si>
  <si>
    <t>BR-100026</t>
  </si>
  <si>
    <t>BR-100027</t>
  </si>
  <si>
    <t>BR-100028</t>
  </si>
  <si>
    <t>BR-100029</t>
  </si>
  <si>
    <t>BR-100030</t>
  </si>
  <si>
    <t>BR-100031</t>
  </si>
  <si>
    <t>BR-100032</t>
  </si>
  <si>
    <t>BR-100033</t>
  </si>
  <si>
    <t>925.921.825-18</t>
  </si>
  <si>
    <t>BR-100034</t>
  </si>
  <si>
    <t>BR-100035</t>
  </si>
  <si>
    <t>BR-100036</t>
  </si>
  <si>
    <t>BR-100037</t>
  </si>
  <si>
    <t>BR-100038</t>
  </si>
  <si>
    <t>BR-100039</t>
  </si>
  <si>
    <t>DY-100001</t>
  </si>
  <si>
    <t>DY-100002</t>
  </si>
  <si>
    <t>BR-100040</t>
  </si>
  <si>
    <t>PN-100067</t>
  </si>
  <si>
    <t>PN-100068</t>
  </si>
  <si>
    <t>554.868.932-29</t>
  </si>
  <si>
    <t>BR-100041</t>
  </si>
  <si>
    <t>100.990.131-95</t>
  </si>
  <si>
    <t>BR-100042</t>
  </si>
  <si>
    <t>BR-100043</t>
  </si>
  <si>
    <t>234.973.038-94</t>
  </si>
  <si>
    <t>BR-100044</t>
  </si>
  <si>
    <t>406.571.445-75</t>
  </si>
  <si>
    <t>RAIMUNDO NONATO SILVA</t>
  </si>
  <si>
    <t>BR-100045</t>
  </si>
  <si>
    <t>BR-100046</t>
  </si>
  <si>
    <t>BR-100047</t>
  </si>
  <si>
    <t>BR-100048</t>
  </si>
  <si>
    <t>BR-100049</t>
  </si>
  <si>
    <t>199.021.480-71</t>
  </si>
  <si>
    <t>BR-100050</t>
  </si>
  <si>
    <t>BR-100051</t>
  </si>
  <si>
    <t>BR-100052</t>
  </si>
  <si>
    <t>PN-100069</t>
  </si>
  <si>
    <t>PN-100070</t>
  </si>
  <si>
    <t>PN-100071</t>
  </si>
  <si>
    <t>PN-100072</t>
  </si>
  <si>
    <t>PN-100073</t>
  </si>
  <si>
    <t>PN-100074</t>
  </si>
  <si>
    <t>BR-100053</t>
  </si>
  <si>
    <t>BR-100054</t>
  </si>
  <si>
    <t>BR-100055</t>
  </si>
  <si>
    <t>BR-100056</t>
  </si>
  <si>
    <t>OL-100001</t>
  </si>
  <si>
    <t>BM-100004</t>
  </si>
  <si>
    <t>SF-100032</t>
  </si>
  <si>
    <t>BM-100005</t>
  </si>
  <si>
    <t>BM-100006</t>
  </si>
  <si>
    <t>SF-100033</t>
  </si>
  <si>
    <t>SF-100034</t>
  </si>
  <si>
    <t>BR-100057</t>
  </si>
  <si>
    <t>BR-100058</t>
  </si>
  <si>
    <t>PN-100075</t>
  </si>
  <si>
    <t>PN-100076</t>
  </si>
  <si>
    <t>SF-100035</t>
  </si>
  <si>
    <t>SF-100036</t>
  </si>
  <si>
    <t>PN-100077</t>
  </si>
  <si>
    <t>PN-100078</t>
  </si>
  <si>
    <t>OL-100002</t>
  </si>
  <si>
    <t>OL-100003</t>
  </si>
  <si>
    <t>OL-100004</t>
  </si>
  <si>
    <t>OL-100005</t>
  </si>
  <si>
    <t>OL-100006</t>
  </si>
  <si>
    <t>SF-100037</t>
  </si>
  <si>
    <t>SF-100038</t>
  </si>
  <si>
    <t>BR-100059</t>
  </si>
  <si>
    <t>BR-100060</t>
  </si>
  <si>
    <t>PN-100079</t>
  </si>
  <si>
    <t>PN-100080</t>
  </si>
  <si>
    <t>PN-100081</t>
  </si>
  <si>
    <t>BR-100061</t>
  </si>
  <si>
    <t>PN-100082</t>
  </si>
  <si>
    <t>C6-100001</t>
  </si>
  <si>
    <t>C6-100002</t>
  </si>
  <si>
    <t>BR-100062</t>
  </si>
  <si>
    <t>BR-100063</t>
  </si>
  <si>
    <t>BR-100064</t>
  </si>
  <si>
    <t>SF-100039</t>
  </si>
  <si>
    <t>SF-100040</t>
  </si>
  <si>
    <t>SF-100041</t>
  </si>
  <si>
    <t>SF-100042</t>
  </si>
  <si>
    <t>SF-100043</t>
  </si>
  <si>
    <t>SF-100044</t>
  </si>
  <si>
    <t>983.284.991-25</t>
  </si>
  <si>
    <t>AROLDO FERREIRA LIMA</t>
  </si>
  <si>
    <t>BR-100065</t>
  </si>
  <si>
    <t>SF-100045</t>
  </si>
  <si>
    <t>SF-100046</t>
  </si>
  <si>
    <t>SF-100047</t>
  </si>
  <si>
    <t>199.919.192-16</t>
  </si>
  <si>
    <t>PN-100083</t>
  </si>
  <si>
    <t>C6-100003</t>
  </si>
  <si>
    <t>PN-100084</t>
  </si>
  <si>
    <t>BM-100007</t>
  </si>
  <si>
    <t>SF-100048</t>
  </si>
  <si>
    <t>SF-100049</t>
  </si>
  <si>
    <t>SF-100050</t>
  </si>
  <si>
    <t>SF-100051</t>
  </si>
  <si>
    <t>PN-100085</t>
  </si>
  <si>
    <t>712.435.890-02</t>
  </si>
  <si>
    <t>FERNANDA LIMA SOUZA</t>
  </si>
  <si>
    <t>PN-100087</t>
  </si>
  <si>
    <t>634.218.765-44</t>
  </si>
  <si>
    <t>JORGE ANTONIO MENDES</t>
  </si>
  <si>
    <t>PN-100088</t>
  </si>
  <si>
    <t>503.871.429-61</t>
  </si>
  <si>
    <t>ANA PAULA FERREIRA</t>
  </si>
  <si>
    <t>SF-100052</t>
  </si>
  <si>
    <t>829.046.317-73</t>
  </si>
  <si>
    <t>ROBERTO CARLOS NUNES</t>
  </si>
  <si>
    <t>SF-100053</t>
  </si>
  <si>
    <t>147.632.958-85</t>
  </si>
  <si>
    <t>PATRICIA OLIVEIRA MATOS</t>
  </si>
  <si>
    <t>PN-100089</t>
  </si>
  <si>
    <t>965.283.741-19</t>
  </si>
  <si>
    <t>MARCOS VINÍCIUS COSTA</t>
  </si>
  <si>
    <t>SF-100054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</si>
</sst>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C000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6" fillId="0" borderId="1" xfId="0" quotePrefix="1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/>
    </xf>
    <xf numFmtId="44" fontId="7" fillId="0" borderId="1" xfId="2" applyFont="1" applyFill="1" applyBorder="1" applyAlignment="1">
      <alignment horizontal="center"/>
    </xf>
    <xf numFmtId="44" fontId="8" fillId="0" borderId="1" xfId="2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2" applyNumberFormat="1" applyFont="1" applyFill="1" applyBorder="1" applyAlignment="1">
      <alignment horizontal="center" vertical="center"/>
    </xf>
    <xf numFmtId="44" fontId="7" fillId="0" borderId="1" xfId="2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4" fontId="6" fillId="0" borderId="1" xfId="2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4" fontId="7" fillId="0" borderId="1" xfId="2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4" fontId="8" fillId="0" borderId="1" xfId="2" applyFont="1" applyFill="1" applyBorder="1" applyAlignment="1">
      <alignment horizontal="center" vertical="center" wrapText="1"/>
    </xf>
    <xf numFmtId="14" fontId="7" fillId="0" borderId="1" xfId="0" quotePrefix="1" applyNumberFormat="1" applyFont="1" applyBorder="1" applyAlignment="1">
      <alignment horizontal="center"/>
    </xf>
    <xf numFmtId="44" fontId="8" fillId="0" borderId="1" xfId="2" applyFont="1" applyFill="1" applyBorder="1" applyAlignment="1">
      <alignment horizontal="center" wrapText="1"/>
    </xf>
    <xf numFmtId="14" fontId="8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center"/>
    </xf>
    <xf numFmtId="44" fontId="7" fillId="0" borderId="1" xfId="0" applyNumberFormat="1" applyFont="1" applyBorder="1" applyAlignment="1">
      <alignment horizontal="center" vertical="center"/>
    </xf>
    <xf numFmtId="44" fontId="8" fillId="0" borderId="1" xfId="2" applyFont="1" applyFill="1" applyBorder="1" applyAlignment="1">
      <alignment wrapText="1"/>
    </xf>
    <xf numFmtId="44" fontId="6" fillId="0" borderId="1" xfId="2" applyFont="1" applyFill="1" applyBorder="1" applyAlignment="1">
      <alignment horizontal="center"/>
    </xf>
    <xf numFmtId="0" fontId="7" fillId="0" borderId="0" xfId="0" applyFont="1"/>
    <xf numFmtId="44" fontId="6" fillId="0" borderId="1" xfId="2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44" fontId="7" fillId="0" borderId="3" xfId="2" applyFont="1" applyFill="1" applyBorder="1" applyAlignment="1">
      <alignment horizontal="center"/>
    </xf>
    <xf numFmtId="44" fontId="6" fillId="0" borderId="1" xfId="2" applyFont="1" applyFill="1" applyBorder="1" applyAlignment="1">
      <alignment horizontal="center" wrapText="1"/>
    </xf>
    <xf numFmtId="44" fontId="6" fillId="0" borderId="1" xfId="2" applyFont="1" applyFill="1" applyBorder="1" applyAlignment="1">
      <alignment vertical="center" wrapText="1"/>
    </xf>
    <xf numFmtId="14" fontId="8" fillId="0" borderId="1" xfId="0" quotePrefix="1" applyNumberFormat="1" applyFont="1" applyBorder="1" applyAlignment="1">
      <alignment horizontal="center" vertical="center"/>
    </xf>
    <xf numFmtId="44" fontId="7" fillId="0" borderId="3" xfId="2" applyFont="1" applyFill="1" applyBorder="1" applyAlignment="1">
      <alignment horizontal="center" vertical="center"/>
    </xf>
    <xf numFmtId="44" fontId="8" fillId="0" borderId="1" xfId="2" applyFont="1" applyFill="1" applyBorder="1" applyAlignment="1">
      <alignment vertical="center" wrapText="1"/>
    </xf>
    <xf numFmtId="0" fontId="6" fillId="0" borderId="1" xfId="0" quotePrefix="1" applyFont="1" applyBorder="1" applyAlignment="1">
      <alignment horizontal="center"/>
    </xf>
    <xf numFmtId="44" fontId="6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44" fontId="8" fillId="0" borderId="1" xfId="2" applyFont="1" applyFill="1" applyBorder="1"/>
    <xf numFmtId="44" fontId="8" fillId="0" borderId="1" xfId="2" applyFont="1" applyFill="1" applyBorder="1" applyAlignment="1">
      <alignment vertical="center"/>
    </xf>
    <xf numFmtId="0" fontId="0" fillId="0" borderId="0" xfId="0" applyAlignment="1">
      <alignment horizontal="center"/>
    </xf>
    <xf numFmtId="49" fontId="0" fillId="3" borderId="5" xfId="0" applyNumberFormat="1" applyFill="1" applyBorder="1"/>
    <xf numFmtId="0" fontId="0" fillId="3" borderId="5" xfId="0" applyFill="1" applyBorder="1"/>
    <xf numFmtId="49" fontId="0" fillId="0" borderId="5" xfId="0" applyNumberFormat="1" applyBorder="1"/>
    <xf numFmtId="0" fontId="0" fillId="0" borderId="5" xfId="0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24%20-%20CreFin/3%20-%20Planilha%20-%20Andamentos%20de%20Contratos%20-%20Att.%2001-03-2021.xlsx" TargetMode="External"/><Relationship Id="rId1" Type="http://schemas.openxmlformats.org/officeDocument/2006/relationships/externalLinkPath" Target="/24%20-%20CreFin/3%20-%20Planilha%20-%20Andamentos%20de%20Contratos%20-%20Att.%2001-03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 - Fev21"/>
      <sheetName val="Ope. &amp; Status"/>
      <sheetName val="CreFin - Prod. Jan 2021"/>
      <sheetName val="CreFin - Prod. Fev 2021"/>
      <sheetName val="DB Iterativo - Mar21"/>
      <sheetName val="DashBoard Análitico - Mar21"/>
      <sheetName val="Tabs. Din. Itrt - Op Mar21"/>
      <sheetName val="DB Análit. - Mar21"/>
      <sheetName val="Tabs. Din. Anlt - Op Mar21"/>
      <sheetName val="Prod. Mar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7D16A4-A0F6-47A0-AB39-A01B1DA0AB6D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60fda01a-c196-4cb1-b5d5-c4a91980f28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28"/>
  <sheetViews>
    <sheetView tabSelected="1" topLeftCell="A210" zoomScale="85" zoomScaleNormal="85" workbookViewId="0">
      <selection activeCell="E223" sqref="E223:G228"/>
    </sheetView>
  </sheetViews>
  <sheetFormatPr defaultRowHeight="15" x14ac:dyDescent="0.25"/>
  <cols>
    <col min="1" max="1" width="10.140625" bestFit="1" customWidth="1"/>
    <col min="2" max="2" width="10.28515625" bestFit="1" customWidth="1"/>
    <col min="3" max="3" width="12" bestFit="1" customWidth="1"/>
    <col min="4" max="4" width="10.5703125" customWidth="1"/>
    <col min="5" max="5" width="14.42578125" bestFit="1" customWidth="1"/>
    <col min="6" max="6" width="25.5703125" customWidth="1"/>
    <col min="7" max="7" width="11.85546875" bestFit="1" customWidth="1"/>
    <col min="8" max="8" width="18.85546875" customWidth="1"/>
    <col min="9" max="9" width="13.42578125" bestFit="1" customWidth="1"/>
    <col min="10" max="10" width="19.5703125" bestFit="1" customWidth="1"/>
    <col min="11" max="11" width="17" bestFit="1" customWidth="1"/>
    <col min="12" max="12" width="13.85546875" bestFit="1" customWidth="1"/>
    <col min="13" max="13" width="11.42578125" customWidth="1"/>
    <col min="14" max="14" width="9.140625" style="61"/>
    <col min="15" max="16" width="15.5703125" bestFit="1" customWidth="1"/>
    <col min="17" max="17" width="18.140625" bestFit="1" customWidth="1"/>
    <col min="18" max="18" width="18.85546875" bestFit="1" customWidth="1"/>
    <col min="19" max="19" width="19.42578125" bestFit="1" customWidth="1"/>
    <col min="20" max="20" width="90.85546875" bestFit="1" customWidth="1"/>
    <col min="21" max="21" width="22" bestFit="1" customWidth="1"/>
    <col min="22" max="22" width="18.140625" bestFit="1" customWidth="1"/>
    <col min="23" max="23" width="16" bestFit="1" customWidth="1"/>
  </cols>
  <sheetData>
    <row r="1" spans="1:36" s="12" customFormat="1" ht="29.2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7" t="s">
        <v>11</v>
      </c>
      <c r="M1" s="7" t="s">
        <v>12</v>
      </c>
      <c r="N1" s="4" t="s">
        <v>13</v>
      </c>
      <c r="O1" s="9" t="s">
        <v>14</v>
      </c>
      <c r="P1" s="10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11" t="s">
        <v>22</v>
      </c>
      <c r="X1" s="8">
        <v>1</v>
      </c>
      <c r="Y1" s="7" t="s">
        <v>23</v>
      </c>
    </row>
    <row r="2" spans="1:36" s="43" customFormat="1" ht="14.25" customHeight="1" x14ac:dyDescent="0.25">
      <c r="A2" s="13">
        <v>45658</v>
      </c>
      <c r="B2" s="13" t="s">
        <v>24</v>
      </c>
      <c r="C2" s="15" t="s">
        <v>60</v>
      </c>
      <c r="D2" s="15" t="s">
        <v>25</v>
      </c>
      <c r="E2" s="62" t="s">
        <v>63</v>
      </c>
      <c r="F2" s="63" t="s">
        <v>64</v>
      </c>
      <c r="G2" s="63" t="s">
        <v>65</v>
      </c>
      <c r="H2" s="14" t="s">
        <v>26</v>
      </c>
      <c r="I2" s="15" t="s">
        <v>27</v>
      </c>
      <c r="J2" s="14" t="s">
        <v>24</v>
      </c>
      <c r="K2" s="15" t="s">
        <v>28</v>
      </c>
      <c r="L2" s="16">
        <v>45661</v>
      </c>
      <c r="M2" s="14" t="s">
        <v>24</v>
      </c>
      <c r="N2" s="17">
        <v>84</v>
      </c>
      <c r="O2" s="18">
        <v>0</v>
      </c>
      <c r="P2" s="18">
        <v>94.5</v>
      </c>
      <c r="Q2" s="18">
        <v>3923.89</v>
      </c>
      <c r="R2" s="19">
        <v>0</v>
      </c>
      <c r="S2" s="18">
        <v>0</v>
      </c>
      <c r="T2" s="20" t="s">
        <v>24</v>
      </c>
      <c r="U2" s="20" t="s">
        <v>24</v>
      </c>
      <c r="V2" s="39">
        <v>0</v>
      </c>
      <c r="W2" s="36" t="s">
        <v>24</v>
      </c>
      <c r="X2" s="55"/>
      <c r="Y2" s="21" t="s">
        <v>29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s="43" customFormat="1" ht="14.25" customHeight="1" x14ac:dyDescent="0.25">
      <c r="A3" s="13">
        <v>45659</v>
      </c>
      <c r="B3" s="13" t="s">
        <v>24</v>
      </c>
      <c r="C3" s="15" t="s">
        <v>60</v>
      </c>
      <c r="D3" s="15" t="s">
        <v>25</v>
      </c>
      <c r="E3" s="64" t="s">
        <v>66</v>
      </c>
      <c r="F3" s="65" t="s">
        <v>67</v>
      </c>
      <c r="G3" s="65" t="s">
        <v>68</v>
      </c>
      <c r="H3" s="14" t="s">
        <v>30</v>
      </c>
      <c r="I3" s="15" t="s">
        <v>27</v>
      </c>
      <c r="J3" s="14" t="s">
        <v>24</v>
      </c>
      <c r="K3" s="15" t="s">
        <v>28</v>
      </c>
      <c r="L3" s="16">
        <v>45662</v>
      </c>
      <c r="M3" s="14" t="s">
        <v>24</v>
      </c>
      <c r="N3" s="17">
        <v>84</v>
      </c>
      <c r="O3" s="18">
        <v>230.93</v>
      </c>
      <c r="P3" s="18">
        <v>313.75</v>
      </c>
      <c r="Q3" s="18">
        <v>11293.05</v>
      </c>
      <c r="R3" s="19">
        <v>11193.05</v>
      </c>
      <c r="S3" s="18">
        <f t="shared" ref="S3:S11" si="0">Q3-R3</f>
        <v>100</v>
      </c>
      <c r="T3" s="20" t="s">
        <v>24</v>
      </c>
      <c r="U3" s="20" t="s">
        <v>24</v>
      </c>
      <c r="V3" s="39">
        <v>0</v>
      </c>
      <c r="W3" s="36" t="s">
        <v>24</v>
      </c>
      <c r="X3" s="55"/>
      <c r="Y3" s="21" t="s">
        <v>29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43" customFormat="1" ht="14.25" customHeight="1" x14ac:dyDescent="0.25">
      <c r="A4" s="13">
        <v>45661</v>
      </c>
      <c r="B4" s="13" t="s">
        <v>24</v>
      </c>
      <c r="C4" s="15" t="s">
        <v>61</v>
      </c>
      <c r="D4" s="15" t="s">
        <v>25</v>
      </c>
      <c r="E4" s="62" t="s">
        <v>69</v>
      </c>
      <c r="F4" s="63" t="s">
        <v>70</v>
      </c>
      <c r="G4" s="63" t="s">
        <v>71</v>
      </c>
      <c r="H4" s="14" t="s">
        <v>31</v>
      </c>
      <c r="I4" s="15" t="s">
        <v>27</v>
      </c>
      <c r="J4" s="14" t="s">
        <v>24</v>
      </c>
      <c r="K4" s="15" t="s">
        <v>32</v>
      </c>
      <c r="L4" s="16">
        <v>45664</v>
      </c>
      <c r="M4" s="14" t="s">
        <v>24</v>
      </c>
      <c r="N4" s="17">
        <v>21</v>
      </c>
      <c r="O4" s="18">
        <v>350</v>
      </c>
      <c r="P4" s="18">
        <v>375.7</v>
      </c>
      <c r="Q4" s="18">
        <v>6500</v>
      </c>
      <c r="R4" s="18">
        <v>0</v>
      </c>
      <c r="S4" s="18">
        <f t="shared" si="0"/>
        <v>6500</v>
      </c>
      <c r="T4" s="20" t="s">
        <v>24</v>
      </c>
      <c r="U4" s="20" t="s">
        <v>24</v>
      </c>
      <c r="V4" s="39">
        <v>0</v>
      </c>
      <c r="W4" s="36" t="s">
        <v>24</v>
      </c>
      <c r="X4" s="55"/>
      <c r="Y4" s="21" t="s">
        <v>29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43" customFormat="1" x14ac:dyDescent="0.25">
      <c r="A5" s="22" t="s">
        <v>24</v>
      </c>
      <c r="B5" s="13" t="s">
        <v>24</v>
      </c>
      <c r="C5" s="15" t="s">
        <v>33</v>
      </c>
      <c r="D5" s="23" t="s">
        <v>25</v>
      </c>
      <c r="E5" s="64" t="s">
        <v>72</v>
      </c>
      <c r="F5" s="65" t="s">
        <v>73</v>
      </c>
      <c r="G5" s="65" t="s">
        <v>74</v>
      </c>
      <c r="H5" s="25"/>
      <c r="I5" s="24"/>
      <c r="J5" s="14" t="s">
        <v>24</v>
      </c>
      <c r="K5" s="15" t="s">
        <v>34</v>
      </c>
      <c r="L5" s="16">
        <v>45664</v>
      </c>
      <c r="M5" s="14" t="s">
        <v>24</v>
      </c>
      <c r="N5" s="26">
        <v>84</v>
      </c>
      <c r="O5" s="27">
        <v>0</v>
      </c>
      <c r="P5" s="27">
        <v>480.71</v>
      </c>
      <c r="Q5" s="27">
        <v>0</v>
      </c>
      <c r="R5" s="27">
        <v>0</v>
      </c>
      <c r="S5" s="27">
        <f t="shared" si="0"/>
        <v>0</v>
      </c>
      <c r="T5" s="20" t="s">
        <v>24</v>
      </c>
      <c r="U5" s="20" t="s">
        <v>24</v>
      </c>
      <c r="V5" s="39">
        <v>0</v>
      </c>
      <c r="W5" s="22" t="s">
        <v>24</v>
      </c>
      <c r="X5" s="55"/>
      <c r="Y5" s="21" t="s">
        <v>29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 s="43" customFormat="1" x14ac:dyDescent="0.25">
      <c r="A6" s="13">
        <v>45663</v>
      </c>
      <c r="B6" s="13" t="s">
        <v>24</v>
      </c>
      <c r="C6" s="15" t="s">
        <v>35</v>
      </c>
      <c r="D6" s="15" t="s">
        <v>25</v>
      </c>
      <c r="E6" s="62" t="s">
        <v>75</v>
      </c>
      <c r="F6" s="63" t="s">
        <v>76</v>
      </c>
      <c r="G6" s="63" t="s">
        <v>77</v>
      </c>
      <c r="H6" s="14" t="s">
        <v>30</v>
      </c>
      <c r="I6" s="15" t="s">
        <v>27</v>
      </c>
      <c r="J6" s="14" t="s">
        <v>24</v>
      </c>
      <c r="K6" s="15" t="s">
        <v>28</v>
      </c>
      <c r="L6" s="16">
        <v>45666</v>
      </c>
      <c r="M6" s="14" t="s">
        <v>24</v>
      </c>
      <c r="N6" s="17">
        <v>84</v>
      </c>
      <c r="O6" s="18">
        <v>316.58</v>
      </c>
      <c r="P6" s="18">
        <v>371.46</v>
      </c>
      <c r="Q6" s="18">
        <v>14815.31</v>
      </c>
      <c r="R6" s="18">
        <v>0</v>
      </c>
      <c r="S6" s="18">
        <f t="shared" si="0"/>
        <v>14815.31</v>
      </c>
      <c r="T6" s="20" t="s">
        <v>24</v>
      </c>
      <c r="U6" s="20" t="s">
        <v>24</v>
      </c>
      <c r="V6" s="39">
        <v>0</v>
      </c>
      <c r="W6" s="36" t="s">
        <v>24</v>
      </c>
      <c r="X6" s="55"/>
      <c r="Y6" s="21" t="s">
        <v>29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 s="43" customFormat="1" x14ac:dyDescent="0.25">
      <c r="A7" s="13">
        <v>45664</v>
      </c>
      <c r="B7" s="13" t="s">
        <v>24</v>
      </c>
      <c r="C7" s="15" t="s">
        <v>59</v>
      </c>
      <c r="D7" s="15" t="s">
        <v>25</v>
      </c>
      <c r="E7" s="64" t="s">
        <v>78</v>
      </c>
      <c r="F7" s="65" t="s">
        <v>79</v>
      </c>
      <c r="G7" s="65" t="s">
        <v>80</v>
      </c>
      <c r="H7" s="14" t="s">
        <v>31</v>
      </c>
      <c r="I7" s="15" t="s">
        <v>27</v>
      </c>
      <c r="J7" s="14" t="s">
        <v>24</v>
      </c>
      <c r="K7" s="15" t="s">
        <v>32</v>
      </c>
      <c r="L7" s="16">
        <v>45667</v>
      </c>
      <c r="M7" s="14" t="s">
        <v>24</v>
      </c>
      <c r="N7" s="17">
        <v>62</v>
      </c>
      <c r="O7" s="18">
        <v>158</v>
      </c>
      <c r="P7" s="18">
        <v>173.43</v>
      </c>
      <c r="Q7" s="18">
        <v>7100</v>
      </c>
      <c r="R7" s="18">
        <v>0</v>
      </c>
      <c r="S7" s="18">
        <f t="shared" si="0"/>
        <v>7100</v>
      </c>
      <c r="T7" s="20" t="s">
        <v>24</v>
      </c>
      <c r="U7" s="20" t="s">
        <v>24</v>
      </c>
      <c r="V7" s="39">
        <v>0</v>
      </c>
      <c r="W7" s="36" t="s">
        <v>24</v>
      </c>
      <c r="X7" s="55"/>
      <c r="Y7" s="21" t="s">
        <v>29</v>
      </c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 s="43" customFormat="1" x14ac:dyDescent="0.25">
      <c r="A8" s="13">
        <v>45666</v>
      </c>
      <c r="B8" s="13" t="s">
        <v>24</v>
      </c>
      <c r="C8" s="24" t="s">
        <v>36</v>
      </c>
      <c r="D8" s="15" t="s">
        <v>25</v>
      </c>
      <c r="E8" s="62" t="s">
        <v>81</v>
      </c>
      <c r="F8" s="63" t="s">
        <v>82</v>
      </c>
      <c r="G8" s="63" t="s">
        <v>83</v>
      </c>
      <c r="H8" s="14" t="s">
        <v>31</v>
      </c>
      <c r="I8" s="15" t="s">
        <v>27</v>
      </c>
      <c r="J8" s="14" t="s">
        <v>24</v>
      </c>
      <c r="K8" s="15" t="s">
        <v>32</v>
      </c>
      <c r="L8" s="16">
        <v>45669</v>
      </c>
      <c r="M8" s="14" t="s">
        <v>24</v>
      </c>
      <c r="N8" s="17">
        <v>0</v>
      </c>
      <c r="O8" s="18">
        <v>520</v>
      </c>
      <c r="P8" s="18">
        <v>579.07000000000005</v>
      </c>
      <c r="Q8" s="18">
        <v>14700</v>
      </c>
      <c r="R8" s="18">
        <v>0</v>
      </c>
      <c r="S8" s="18">
        <f t="shared" si="0"/>
        <v>14700</v>
      </c>
      <c r="T8" s="20" t="s">
        <v>24</v>
      </c>
      <c r="U8" s="20" t="s">
        <v>24</v>
      </c>
      <c r="V8" s="39">
        <v>0</v>
      </c>
      <c r="W8" s="36" t="s">
        <v>24</v>
      </c>
      <c r="X8" s="55"/>
      <c r="Y8" s="21" t="s">
        <v>29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 s="43" customFormat="1" x14ac:dyDescent="0.25">
      <c r="A9" s="28">
        <v>45668</v>
      </c>
      <c r="B9" s="13" t="s">
        <v>24</v>
      </c>
      <c r="C9" s="15" t="s">
        <v>35</v>
      </c>
      <c r="D9" s="15" t="s">
        <v>25</v>
      </c>
      <c r="E9" s="64" t="s">
        <v>84</v>
      </c>
      <c r="F9" s="65" t="s">
        <v>85</v>
      </c>
      <c r="G9" s="65" t="s">
        <v>86</v>
      </c>
      <c r="H9" s="15" t="s">
        <v>37</v>
      </c>
      <c r="I9" s="15" t="s">
        <v>27</v>
      </c>
      <c r="J9" s="14" t="s">
        <v>24</v>
      </c>
      <c r="K9" s="15" t="s">
        <v>28</v>
      </c>
      <c r="L9" s="16">
        <v>45671</v>
      </c>
      <c r="M9" s="14" t="s">
        <v>24</v>
      </c>
      <c r="N9" s="17">
        <v>84</v>
      </c>
      <c r="O9" s="29">
        <v>0</v>
      </c>
      <c r="P9" s="18">
        <v>299.74</v>
      </c>
      <c r="Q9" s="18">
        <v>15296.75</v>
      </c>
      <c r="R9" s="18">
        <v>14996.75</v>
      </c>
      <c r="S9" s="18">
        <f t="shared" si="0"/>
        <v>300</v>
      </c>
      <c r="T9" s="20" t="s">
        <v>24</v>
      </c>
      <c r="U9" s="20" t="s">
        <v>24</v>
      </c>
      <c r="V9" s="39">
        <v>0</v>
      </c>
      <c r="W9" s="36" t="s">
        <v>24</v>
      </c>
      <c r="X9" s="21"/>
      <c r="Y9" s="21" t="s">
        <v>29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 s="43" customFormat="1" x14ac:dyDescent="0.25">
      <c r="A10" s="13">
        <v>45669</v>
      </c>
      <c r="B10" s="13" t="s">
        <v>24</v>
      </c>
      <c r="C10" s="15" t="s">
        <v>33</v>
      </c>
      <c r="D10" s="15" t="s">
        <v>25</v>
      </c>
      <c r="E10" s="62" t="s">
        <v>87</v>
      </c>
      <c r="F10" s="63" t="s">
        <v>88</v>
      </c>
      <c r="G10" s="63" t="s">
        <v>89</v>
      </c>
      <c r="H10" s="14" t="s">
        <v>31</v>
      </c>
      <c r="I10" s="15" t="s">
        <v>27</v>
      </c>
      <c r="J10" s="14" t="s">
        <v>24</v>
      </c>
      <c r="K10" s="15" t="s">
        <v>28</v>
      </c>
      <c r="L10" s="16">
        <v>45672</v>
      </c>
      <c r="M10" s="14" t="s">
        <v>24</v>
      </c>
      <c r="N10" s="17">
        <v>0</v>
      </c>
      <c r="O10" s="18">
        <v>175</v>
      </c>
      <c r="P10" s="18">
        <v>200</v>
      </c>
      <c r="Q10" s="18">
        <v>6600</v>
      </c>
      <c r="R10" s="18">
        <v>0</v>
      </c>
      <c r="S10" s="18">
        <f t="shared" si="0"/>
        <v>6600</v>
      </c>
      <c r="T10" s="20" t="s">
        <v>24</v>
      </c>
      <c r="U10" s="20" t="s">
        <v>24</v>
      </c>
      <c r="V10" s="39">
        <v>0</v>
      </c>
      <c r="W10" s="36" t="s">
        <v>24</v>
      </c>
      <c r="X10" s="55"/>
      <c r="Y10" s="21" t="s">
        <v>29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 s="43" customFormat="1" x14ac:dyDescent="0.25">
      <c r="A11" s="13">
        <v>45671</v>
      </c>
      <c r="B11" s="13" t="s">
        <v>24</v>
      </c>
      <c r="C11" s="24" t="s">
        <v>36</v>
      </c>
      <c r="D11" s="15" t="s">
        <v>25</v>
      </c>
      <c r="E11" s="64" t="s">
        <v>90</v>
      </c>
      <c r="F11" s="65" t="s">
        <v>91</v>
      </c>
      <c r="G11" s="65" t="s">
        <v>92</v>
      </c>
      <c r="H11" s="14" t="s">
        <v>31</v>
      </c>
      <c r="I11" s="15" t="s">
        <v>27</v>
      </c>
      <c r="J11" s="14" t="s">
        <v>24</v>
      </c>
      <c r="K11" s="15" t="s">
        <v>28</v>
      </c>
      <c r="L11" s="16">
        <v>45674</v>
      </c>
      <c r="M11" s="14" t="s">
        <v>24</v>
      </c>
      <c r="N11" s="17">
        <v>0</v>
      </c>
      <c r="O11" s="29">
        <v>265</v>
      </c>
      <c r="P11" s="29">
        <v>303.41000000000003</v>
      </c>
      <c r="Q11" s="18">
        <v>9000</v>
      </c>
      <c r="R11" s="18">
        <v>0</v>
      </c>
      <c r="S11" s="18">
        <f t="shared" si="0"/>
        <v>9000</v>
      </c>
      <c r="T11" s="20" t="s">
        <v>24</v>
      </c>
      <c r="U11" s="20" t="s">
        <v>24</v>
      </c>
      <c r="V11" s="39">
        <v>0</v>
      </c>
      <c r="W11" s="36" t="s">
        <v>24</v>
      </c>
      <c r="X11" s="55"/>
      <c r="Y11" s="21" t="s">
        <v>29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 s="43" customFormat="1" x14ac:dyDescent="0.25">
      <c r="A12" s="28">
        <v>45673</v>
      </c>
      <c r="B12" s="13" t="s">
        <v>24</v>
      </c>
      <c r="C12" s="24" t="s">
        <v>36</v>
      </c>
      <c r="D12" s="15" t="s">
        <v>25</v>
      </c>
      <c r="E12" s="62" t="s">
        <v>93</v>
      </c>
      <c r="F12" s="63" t="s">
        <v>94</v>
      </c>
      <c r="G12" s="63" t="s">
        <v>95</v>
      </c>
      <c r="H12" s="14" t="s">
        <v>38</v>
      </c>
      <c r="I12" s="15" t="s">
        <v>27</v>
      </c>
      <c r="J12" s="14" t="s">
        <v>24</v>
      </c>
      <c r="K12" s="15" t="s">
        <v>32</v>
      </c>
      <c r="L12" s="16">
        <v>45676</v>
      </c>
      <c r="M12" s="14" t="s">
        <v>24</v>
      </c>
      <c r="N12" s="17">
        <v>84</v>
      </c>
      <c r="O12" s="29">
        <v>758.01</v>
      </c>
      <c r="P12" s="18">
        <v>792.96</v>
      </c>
      <c r="Q12" s="18">
        <v>0</v>
      </c>
      <c r="R12" s="18">
        <v>0</v>
      </c>
      <c r="S12" s="18">
        <v>0</v>
      </c>
      <c r="T12" s="20" t="s">
        <v>24</v>
      </c>
      <c r="U12" s="20" t="s">
        <v>24</v>
      </c>
      <c r="V12" s="39">
        <v>0</v>
      </c>
      <c r="W12" s="36" t="s">
        <v>24</v>
      </c>
      <c r="X12" s="55"/>
      <c r="Y12" s="21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 s="43" customFormat="1" x14ac:dyDescent="0.25">
      <c r="A13" s="28">
        <v>45674</v>
      </c>
      <c r="B13" s="13" t="s">
        <v>24</v>
      </c>
      <c r="C13" s="24" t="s">
        <v>36</v>
      </c>
      <c r="D13" s="15" t="s">
        <v>25</v>
      </c>
      <c r="E13" s="64" t="s">
        <v>96</v>
      </c>
      <c r="F13" s="65" t="s">
        <v>97</v>
      </c>
      <c r="G13" s="65" t="s">
        <v>98</v>
      </c>
      <c r="H13" s="14" t="s">
        <v>31</v>
      </c>
      <c r="I13" s="15" t="s">
        <v>27</v>
      </c>
      <c r="J13" s="14" t="s">
        <v>24</v>
      </c>
      <c r="K13" s="15" t="s">
        <v>32</v>
      </c>
      <c r="L13" s="16">
        <v>45677</v>
      </c>
      <c r="M13" s="14" t="s">
        <v>24</v>
      </c>
      <c r="N13" s="17">
        <v>59</v>
      </c>
      <c r="O13" s="29">
        <v>758.01</v>
      </c>
      <c r="P13" s="18">
        <v>792.96</v>
      </c>
      <c r="Q13" s="18">
        <v>31502.18</v>
      </c>
      <c r="R13" s="18">
        <v>0</v>
      </c>
      <c r="S13" s="18">
        <f t="shared" ref="S13:S57" si="1">Q13-R13</f>
        <v>31502.18</v>
      </c>
      <c r="T13" s="20" t="s">
        <v>24</v>
      </c>
      <c r="U13" s="20" t="s">
        <v>24</v>
      </c>
      <c r="V13" s="39">
        <v>0</v>
      </c>
      <c r="W13" s="36" t="s">
        <v>24</v>
      </c>
      <c r="X13" s="55"/>
      <c r="Y13" s="21" t="s">
        <v>29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 s="12" customFormat="1" x14ac:dyDescent="0.25">
      <c r="A14" s="28">
        <v>45676</v>
      </c>
      <c r="B14" s="13" t="s">
        <v>24</v>
      </c>
      <c r="C14" s="15" t="s">
        <v>59</v>
      </c>
      <c r="D14" s="15" t="s">
        <v>25</v>
      </c>
      <c r="E14" s="62" t="s">
        <v>99</v>
      </c>
      <c r="F14" s="63" t="s">
        <v>100</v>
      </c>
      <c r="G14" s="63" t="s">
        <v>101</v>
      </c>
      <c r="H14" s="14" t="s">
        <v>38</v>
      </c>
      <c r="I14" s="15" t="s">
        <v>27</v>
      </c>
      <c r="J14" s="14" t="s">
        <v>24</v>
      </c>
      <c r="K14" s="15" t="s">
        <v>32</v>
      </c>
      <c r="L14" s="16">
        <v>45679</v>
      </c>
      <c r="M14" s="14" t="s">
        <v>24</v>
      </c>
      <c r="N14" s="17">
        <v>84</v>
      </c>
      <c r="O14" s="29">
        <v>170.28</v>
      </c>
      <c r="P14" s="29">
        <v>274.55</v>
      </c>
      <c r="Q14" s="18">
        <v>0</v>
      </c>
      <c r="R14" s="18">
        <v>8495.84</v>
      </c>
      <c r="S14" s="18">
        <f t="shared" si="1"/>
        <v>-8495.84</v>
      </c>
      <c r="T14" s="20" t="s">
        <v>24</v>
      </c>
      <c r="U14" s="20" t="s">
        <v>24</v>
      </c>
      <c r="V14" s="39">
        <v>0</v>
      </c>
      <c r="W14" s="36" t="s">
        <v>24</v>
      </c>
      <c r="X14" s="55"/>
      <c r="Y14" s="21" t="s">
        <v>29</v>
      </c>
    </row>
    <row r="15" spans="1:36" s="12" customFormat="1" x14ac:dyDescent="0.25">
      <c r="A15" s="28">
        <v>45678</v>
      </c>
      <c r="B15" s="13" t="s">
        <v>24</v>
      </c>
      <c r="C15" s="15" t="s">
        <v>59</v>
      </c>
      <c r="D15" s="15" t="s">
        <v>25</v>
      </c>
      <c r="E15" s="64" t="s">
        <v>96</v>
      </c>
      <c r="F15" s="65" t="s">
        <v>97</v>
      </c>
      <c r="G15" s="65" t="s">
        <v>102</v>
      </c>
      <c r="H15" s="14" t="s">
        <v>31</v>
      </c>
      <c r="I15" s="15" t="s">
        <v>27</v>
      </c>
      <c r="J15" s="14" t="s">
        <v>24</v>
      </c>
      <c r="K15" s="15" t="s">
        <v>32</v>
      </c>
      <c r="L15" s="16">
        <v>45681</v>
      </c>
      <c r="M15" s="14" t="s">
        <v>24</v>
      </c>
      <c r="N15" s="17">
        <v>46</v>
      </c>
      <c r="O15" s="29">
        <v>248.99</v>
      </c>
      <c r="P15" s="29">
        <v>274.55</v>
      </c>
      <c r="Q15" s="18">
        <v>8495.84</v>
      </c>
      <c r="R15" s="18">
        <v>0</v>
      </c>
      <c r="S15" s="18">
        <f t="shared" si="1"/>
        <v>8495.84</v>
      </c>
      <c r="T15" s="20" t="s">
        <v>24</v>
      </c>
      <c r="U15" s="20" t="s">
        <v>24</v>
      </c>
      <c r="V15" s="39">
        <v>0</v>
      </c>
      <c r="W15" s="36" t="s">
        <v>24</v>
      </c>
      <c r="X15" s="55"/>
      <c r="Y15" s="21" t="s">
        <v>29</v>
      </c>
    </row>
    <row r="16" spans="1:36" s="12" customFormat="1" x14ac:dyDescent="0.25">
      <c r="A16" s="30">
        <v>45679</v>
      </c>
      <c r="B16" s="22" t="s">
        <v>24</v>
      </c>
      <c r="C16" s="15" t="s">
        <v>35</v>
      </c>
      <c r="D16" s="23" t="s">
        <v>25</v>
      </c>
      <c r="E16" s="62" t="s">
        <v>81</v>
      </c>
      <c r="F16" s="63" t="s">
        <v>82</v>
      </c>
      <c r="G16" s="63" t="s">
        <v>103</v>
      </c>
      <c r="H16" s="14" t="s">
        <v>31</v>
      </c>
      <c r="I16" s="31" t="s">
        <v>39</v>
      </c>
      <c r="J16" s="14" t="s">
        <v>24</v>
      </c>
      <c r="K16" s="23" t="s">
        <v>28</v>
      </c>
      <c r="L16" s="16">
        <v>45682</v>
      </c>
      <c r="M16" s="14" t="s">
        <v>24</v>
      </c>
      <c r="N16" s="17">
        <v>0</v>
      </c>
      <c r="O16" s="29">
        <v>0</v>
      </c>
      <c r="P16" s="29">
        <v>335.43</v>
      </c>
      <c r="Q16" s="18">
        <v>10700</v>
      </c>
      <c r="R16" s="18">
        <v>0</v>
      </c>
      <c r="S16" s="18">
        <f t="shared" si="1"/>
        <v>10700</v>
      </c>
      <c r="T16" s="20" t="s">
        <v>24</v>
      </c>
      <c r="U16" s="20" t="s">
        <v>24</v>
      </c>
      <c r="V16" s="39">
        <v>0</v>
      </c>
      <c r="W16" s="36" t="s">
        <v>24</v>
      </c>
      <c r="X16" s="55"/>
      <c r="Y16" s="21" t="s">
        <v>29</v>
      </c>
    </row>
    <row r="17" spans="1:58" s="12" customFormat="1" x14ac:dyDescent="0.25">
      <c r="A17" s="30">
        <v>45681</v>
      </c>
      <c r="B17" s="22" t="s">
        <v>24</v>
      </c>
      <c r="C17" s="15" t="s">
        <v>35</v>
      </c>
      <c r="D17" s="23" t="s">
        <v>25</v>
      </c>
      <c r="E17" s="64" t="s">
        <v>104</v>
      </c>
      <c r="F17" s="65" t="s">
        <v>105</v>
      </c>
      <c r="G17" s="65" t="s">
        <v>106</v>
      </c>
      <c r="H17" s="14" t="s">
        <v>31</v>
      </c>
      <c r="I17" s="31" t="s">
        <v>39</v>
      </c>
      <c r="J17" s="14" t="s">
        <v>24</v>
      </c>
      <c r="K17" s="23" t="s">
        <v>28</v>
      </c>
      <c r="L17" s="16">
        <v>45684</v>
      </c>
      <c r="M17" s="14" t="s">
        <v>24</v>
      </c>
      <c r="N17" s="17">
        <v>0</v>
      </c>
      <c r="O17" s="29">
        <v>0</v>
      </c>
      <c r="P17" s="29">
        <v>132.79</v>
      </c>
      <c r="Q17" s="18">
        <v>4250</v>
      </c>
      <c r="R17" s="18">
        <v>0</v>
      </c>
      <c r="S17" s="18">
        <f t="shared" si="1"/>
        <v>4250</v>
      </c>
      <c r="T17" s="20" t="s">
        <v>24</v>
      </c>
      <c r="U17" s="20" t="s">
        <v>24</v>
      </c>
      <c r="V17" s="39">
        <v>0</v>
      </c>
      <c r="W17" s="36" t="s">
        <v>24</v>
      </c>
      <c r="X17" s="55"/>
      <c r="Y17" s="21" t="s">
        <v>29</v>
      </c>
    </row>
    <row r="18" spans="1:58" s="12" customFormat="1" x14ac:dyDescent="0.25">
      <c r="A18" s="30">
        <v>45683</v>
      </c>
      <c r="B18" s="13" t="s">
        <v>24</v>
      </c>
      <c r="C18" s="15" t="s">
        <v>59</v>
      </c>
      <c r="D18" s="23" t="s">
        <v>25</v>
      </c>
      <c r="E18" s="62" t="s">
        <v>63</v>
      </c>
      <c r="F18" s="63" t="s">
        <v>64</v>
      </c>
      <c r="G18" s="63" t="s">
        <v>107</v>
      </c>
      <c r="H18" s="14" t="s">
        <v>38</v>
      </c>
      <c r="I18" s="15" t="s">
        <v>39</v>
      </c>
      <c r="J18" s="14" t="s">
        <v>24</v>
      </c>
      <c r="K18" s="23" t="s">
        <v>28</v>
      </c>
      <c r="L18" s="16">
        <v>45686</v>
      </c>
      <c r="M18" s="14" t="s">
        <v>24</v>
      </c>
      <c r="N18" s="17">
        <v>84</v>
      </c>
      <c r="O18" s="29">
        <v>0</v>
      </c>
      <c r="P18" s="29">
        <v>307.49</v>
      </c>
      <c r="Q18" s="18">
        <v>0</v>
      </c>
      <c r="R18" s="18">
        <v>0</v>
      </c>
      <c r="S18" s="18">
        <f t="shared" si="1"/>
        <v>0</v>
      </c>
      <c r="T18" s="20" t="s">
        <v>24</v>
      </c>
      <c r="U18" s="20" t="s">
        <v>24</v>
      </c>
      <c r="V18" s="39">
        <v>0</v>
      </c>
      <c r="W18" s="36" t="s">
        <v>24</v>
      </c>
      <c r="X18" s="55"/>
      <c r="Y18" s="21" t="s">
        <v>29</v>
      </c>
    </row>
    <row r="19" spans="1:58" s="12" customFormat="1" x14ac:dyDescent="0.25">
      <c r="A19" s="30">
        <v>45684</v>
      </c>
      <c r="B19" s="13" t="s">
        <v>24</v>
      </c>
      <c r="C19" s="15" t="s">
        <v>59</v>
      </c>
      <c r="D19" s="23" t="s">
        <v>25</v>
      </c>
      <c r="E19" s="64" t="s">
        <v>108</v>
      </c>
      <c r="F19" s="65" t="s">
        <v>109</v>
      </c>
      <c r="G19" s="65" t="s">
        <v>110</v>
      </c>
      <c r="H19" s="14" t="s">
        <v>31</v>
      </c>
      <c r="I19" s="15" t="s">
        <v>39</v>
      </c>
      <c r="J19" s="14" t="s">
        <v>24</v>
      </c>
      <c r="K19" s="23" t="s">
        <v>28</v>
      </c>
      <c r="L19" s="16">
        <v>45687</v>
      </c>
      <c r="M19" s="14" t="s">
        <v>24</v>
      </c>
      <c r="N19" s="17">
        <v>59</v>
      </c>
      <c r="O19" s="29">
        <v>0</v>
      </c>
      <c r="P19" s="29">
        <v>333.85</v>
      </c>
      <c r="Q19" s="32">
        <v>13850</v>
      </c>
      <c r="R19" s="18">
        <v>0</v>
      </c>
      <c r="S19" s="18">
        <f t="shared" si="1"/>
        <v>13850</v>
      </c>
      <c r="T19" s="20" t="s">
        <v>24</v>
      </c>
      <c r="U19" s="20" t="s">
        <v>24</v>
      </c>
      <c r="V19" s="39">
        <v>0</v>
      </c>
      <c r="W19" s="36" t="s">
        <v>24</v>
      </c>
      <c r="X19" s="55"/>
      <c r="Y19" s="21" t="s">
        <v>29</v>
      </c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1:58" s="12" customFormat="1" x14ac:dyDescent="0.25">
      <c r="A20" s="30">
        <v>45686</v>
      </c>
      <c r="B20" s="13" t="s">
        <v>24</v>
      </c>
      <c r="C20" s="15" t="s">
        <v>59</v>
      </c>
      <c r="D20" s="23" t="s">
        <v>25</v>
      </c>
      <c r="E20" s="62" t="s">
        <v>111</v>
      </c>
      <c r="F20" s="63" t="s">
        <v>112</v>
      </c>
      <c r="G20" s="63" t="s">
        <v>113</v>
      </c>
      <c r="H20" s="14" t="s">
        <v>38</v>
      </c>
      <c r="I20" s="15" t="s">
        <v>39</v>
      </c>
      <c r="J20" s="14" t="s">
        <v>24</v>
      </c>
      <c r="K20" s="23" t="s">
        <v>28</v>
      </c>
      <c r="L20" s="16">
        <v>45689</v>
      </c>
      <c r="M20" s="14" t="s">
        <v>24</v>
      </c>
      <c r="N20" s="17">
        <v>84</v>
      </c>
      <c r="O20" s="29">
        <v>0</v>
      </c>
      <c r="P20" s="29">
        <v>240.46</v>
      </c>
      <c r="Q20" s="18">
        <v>0</v>
      </c>
      <c r="R20" s="18">
        <v>0</v>
      </c>
      <c r="S20" s="18">
        <f t="shared" si="1"/>
        <v>0</v>
      </c>
      <c r="T20" s="20" t="s">
        <v>24</v>
      </c>
      <c r="U20" s="20" t="s">
        <v>24</v>
      </c>
      <c r="V20" s="39">
        <v>0</v>
      </c>
      <c r="W20" s="36" t="s">
        <v>24</v>
      </c>
      <c r="X20" s="55"/>
      <c r="Y20" s="21" t="s">
        <v>29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</row>
    <row r="21" spans="1:58" s="12" customFormat="1" x14ac:dyDescent="0.25">
      <c r="A21" s="30">
        <v>45688</v>
      </c>
      <c r="B21" s="13" t="s">
        <v>24</v>
      </c>
      <c r="C21" s="15" t="s">
        <v>59</v>
      </c>
      <c r="D21" s="23" t="s">
        <v>25</v>
      </c>
      <c r="E21" s="64" t="s">
        <v>114</v>
      </c>
      <c r="F21" s="65" t="s">
        <v>115</v>
      </c>
      <c r="G21" s="65" t="s">
        <v>116</v>
      </c>
      <c r="H21" s="14" t="s">
        <v>31</v>
      </c>
      <c r="I21" s="15" t="s">
        <v>39</v>
      </c>
      <c r="J21" s="14" t="s">
        <v>24</v>
      </c>
      <c r="K21" s="23" t="s">
        <v>28</v>
      </c>
      <c r="L21" s="16">
        <v>45691</v>
      </c>
      <c r="M21" s="14" t="s">
        <v>24</v>
      </c>
      <c r="N21" s="17">
        <v>59</v>
      </c>
      <c r="O21" s="29">
        <v>0</v>
      </c>
      <c r="P21" s="29">
        <v>265.14999999999998</v>
      </c>
      <c r="Q21" s="32">
        <v>11000</v>
      </c>
      <c r="R21" s="18">
        <v>0</v>
      </c>
      <c r="S21" s="18">
        <f t="shared" si="1"/>
        <v>11000</v>
      </c>
      <c r="T21" s="20" t="s">
        <v>24</v>
      </c>
      <c r="U21" s="20" t="s">
        <v>24</v>
      </c>
      <c r="V21" s="39">
        <v>0</v>
      </c>
      <c r="W21" s="36" t="s">
        <v>24</v>
      </c>
      <c r="X21" s="55"/>
      <c r="Y21" s="21" t="s">
        <v>29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</row>
    <row r="22" spans="1:58" s="12" customFormat="1" x14ac:dyDescent="0.25">
      <c r="A22" s="30">
        <v>45689</v>
      </c>
      <c r="B22" s="13" t="s">
        <v>24</v>
      </c>
      <c r="C22" s="15" t="s">
        <v>59</v>
      </c>
      <c r="D22" s="23" t="s">
        <v>25</v>
      </c>
      <c r="E22" s="62" t="s">
        <v>93</v>
      </c>
      <c r="F22" s="63" t="s">
        <v>94</v>
      </c>
      <c r="G22" s="63" t="s">
        <v>117</v>
      </c>
      <c r="H22" s="14" t="s">
        <v>38</v>
      </c>
      <c r="I22" s="15" t="s">
        <v>39</v>
      </c>
      <c r="J22" s="14" t="s">
        <v>24</v>
      </c>
      <c r="K22" s="23" t="s">
        <v>28</v>
      </c>
      <c r="L22" s="16">
        <v>45692</v>
      </c>
      <c r="M22" s="14" t="s">
        <v>24</v>
      </c>
      <c r="N22" s="17">
        <v>84</v>
      </c>
      <c r="O22" s="29">
        <v>0</v>
      </c>
      <c r="P22" s="29">
        <v>48.21</v>
      </c>
      <c r="Q22" s="18">
        <v>0</v>
      </c>
      <c r="R22" s="18">
        <v>0</v>
      </c>
      <c r="S22" s="18">
        <f t="shared" si="1"/>
        <v>0</v>
      </c>
      <c r="T22" s="20" t="s">
        <v>24</v>
      </c>
      <c r="U22" s="20" t="s">
        <v>24</v>
      </c>
      <c r="V22" s="39">
        <v>0</v>
      </c>
      <c r="W22" s="36" t="s">
        <v>24</v>
      </c>
      <c r="X22" s="55"/>
      <c r="Y22" s="21" t="s">
        <v>29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58" s="12" customFormat="1" x14ac:dyDescent="0.25">
      <c r="A23" s="30">
        <v>45691</v>
      </c>
      <c r="B23" s="13" t="s">
        <v>24</v>
      </c>
      <c r="C23" s="15" t="s">
        <v>59</v>
      </c>
      <c r="D23" s="23" t="s">
        <v>25</v>
      </c>
      <c r="E23" s="64" t="s">
        <v>78</v>
      </c>
      <c r="F23" s="65" t="s">
        <v>79</v>
      </c>
      <c r="G23" s="65" t="s">
        <v>118</v>
      </c>
      <c r="H23" s="14" t="s">
        <v>31</v>
      </c>
      <c r="I23" s="15" t="s">
        <v>39</v>
      </c>
      <c r="J23" s="14" t="s">
        <v>24</v>
      </c>
      <c r="K23" s="23" t="s">
        <v>28</v>
      </c>
      <c r="L23" s="16">
        <v>45694</v>
      </c>
      <c r="M23" s="14" t="s">
        <v>24</v>
      </c>
      <c r="N23" s="17">
        <v>59</v>
      </c>
      <c r="O23" s="29">
        <v>0</v>
      </c>
      <c r="P23" s="29">
        <v>48.21</v>
      </c>
      <c r="Q23" s="32">
        <v>2000</v>
      </c>
      <c r="R23" s="18">
        <v>0</v>
      </c>
      <c r="S23" s="18">
        <f t="shared" si="1"/>
        <v>2000</v>
      </c>
      <c r="T23" s="20" t="s">
        <v>24</v>
      </c>
      <c r="U23" s="20" t="s">
        <v>24</v>
      </c>
      <c r="V23" s="39">
        <v>0</v>
      </c>
      <c r="W23" s="36" t="s">
        <v>24</v>
      </c>
      <c r="X23" s="55"/>
      <c r="Y23" s="21" t="s">
        <v>29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1:58" s="12" customFormat="1" x14ac:dyDescent="0.25">
      <c r="A24" s="33">
        <v>45692</v>
      </c>
      <c r="B24" s="13" t="s">
        <v>24</v>
      </c>
      <c r="C24" s="15" t="s">
        <v>59</v>
      </c>
      <c r="D24" s="15" t="s">
        <v>25</v>
      </c>
      <c r="E24" s="62" t="s">
        <v>119</v>
      </c>
      <c r="F24" s="63" t="s">
        <v>120</v>
      </c>
      <c r="G24" s="63" t="s">
        <v>121</v>
      </c>
      <c r="H24" s="14" t="s">
        <v>31</v>
      </c>
      <c r="I24" s="34" t="s">
        <v>27</v>
      </c>
      <c r="J24" s="14" t="s">
        <v>24</v>
      </c>
      <c r="K24" s="15" t="s">
        <v>32</v>
      </c>
      <c r="L24" s="16">
        <v>45695</v>
      </c>
      <c r="M24" s="14" t="s">
        <v>24</v>
      </c>
      <c r="N24" s="17">
        <v>57</v>
      </c>
      <c r="O24" s="29">
        <v>839.59</v>
      </c>
      <c r="P24" s="18">
        <v>853.2</v>
      </c>
      <c r="Q24" s="18">
        <v>35080.720000000001</v>
      </c>
      <c r="R24" s="18">
        <v>0</v>
      </c>
      <c r="S24" s="18">
        <f t="shared" si="1"/>
        <v>35080.720000000001</v>
      </c>
      <c r="T24" s="20" t="s">
        <v>24</v>
      </c>
      <c r="U24" s="20" t="s">
        <v>24</v>
      </c>
      <c r="V24" s="39">
        <v>0</v>
      </c>
      <c r="W24" s="36" t="s">
        <v>24</v>
      </c>
      <c r="X24" s="55"/>
      <c r="Y24" s="21" t="s">
        <v>29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58" s="12" customFormat="1" x14ac:dyDescent="0.25">
      <c r="A25" s="13">
        <v>45694</v>
      </c>
      <c r="B25" s="13" t="s">
        <v>24</v>
      </c>
      <c r="C25" s="15" t="s">
        <v>61</v>
      </c>
      <c r="D25" s="15" t="s">
        <v>25</v>
      </c>
      <c r="E25" s="64" t="s">
        <v>122</v>
      </c>
      <c r="F25" s="65" t="s">
        <v>123</v>
      </c>
      <c r="G25" s="65" t="s">
        <v>124</v>
      </c>
      <c r="H25" s="14" t="s">
        <v>31</v>
      </c>
      <c r="I25" s="15" t="s">
        <v>27</v>
      </c>
      <c r="J25" s="14" t="s">
        <v>24</v>
      </c>
      <c r="K25" s="14" t="s">
        <v>32</v>
      </c>
      <c r="L25" s="16">
        <v>45697</v>
      </c>
      <c r="M25" s="14" t="s">
        <v>24</v>
      </c>
      <c r="N25" s="17">
        <v>24</v>
      </c>
      <c r="O25" s="29">
        <v>762.95</v>
      </c>
      <c r="P25" s="29">
        <v>816.63</v>
      </c>
      <c r="Q25" s="18">
        <v>15900</v>
      </c>
      <c r="R25" s="18">
        <v>0</v>
      </c>
      <c r="S25" s="18">
        <f t="shared" si="1"/>
        <v>15900</v>
      </c>
      <c r="T25" s="20" t="s">
        <v>24</v>
      </c>
      <c r="U25" s="20" t="s">
        <v>24</v>
      </c>
      <c r="V25" s="39">
        <v>0</v>
      </c>
      <c r="W25" s="36" t="s">
        <v>24</v>
      </c>
      <c r="X25" s="55"/>
      <c r="Y25" s="21" t="s">
        <v>29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s="12" customFormat="1" x14ac:dyDescent="0.25">
      <c r="A26" s="28">
        <v>45695</v>
      </c>
      <c r="B26" s="22" t="s">
        <v>24</v>
      </c>
      <c r="C26" s="15" t="s">
        <v>35</v>
      </c>
      <c r="D26" s="23" t="s">
        <v>25</v>
      </c>
      <c r="E26" s="62" t="s">
        <v>125</v>
      </c>
      <c r="F26" s="63" t="s">
        <v>126</v>
      </c>
      <c r="G26" s="63" t="s">
        <v>127</v>
      </c>
      <c r="H26" s="14" t="s">
        <v>31</v>
      </c>
      <c r="I26" s="15" t="s">
        <v>40</v>
      </c>
      <c r="J26" s="14" t="s">
        <v>24</v>
      </c>
      <c r="K26" s="23" t="s">
        <v>41</v>
      </c>
      <c r="L26" s="16">
        <v>45698</v>
      </c>
      <c r="M26" s="14" t="s">
        <v>24</v>
      </c>
      <c r="N26" s="26">
        <v>54</v>
      </c>
      <c r="O26" s="29">
        <v>536.91999999999996</v>
      </c>
      <c r="P26" s="35">
        <v>646.72</v>
      </c>
      <c r="Q26" s="27">
        <v>0</v>
      </c>
      <c r="R26" s="27">
        <v>0</v>
      </c>
      <c r="S26" s="27">
        <f t="shared" si="1"/>
        <v>0</v>
      </c>
      <c r="T26" s="20" t="s">
        <v>24</v>
      </c>
      <c r="U26" s="20" t="s">
        <v>24</v>
      </c>
      <c r="V26" s="39">
        <v>0</v>
      </c>
      <c r="W26" s="22" t="s">
        <v>24</v>
      </c>
      <c r="X26" s="55"/>
      <c r="Y26" s="21" t="s">
        <v>29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s="12" customFormat="1" x14ac:dyDescent="0.25">
      <c r="A27" s="22" t="s">
        <v>24</v>
      </c>
      <c r="B27" s="13" t="s">
        <v>24</v>
      </c>
      <c r="C27" s="15" t="s">
        <v>60</v>
      </c>
      <c r="D27" s="15" t="s">
        <v>25</v>
      </c>
      <c r="E27" s="64" t="s">
        <v>128</v>
      </c>
      <c r="F27" s="65" t="s">
        <v>129</v>
      </c>
      <c r="G27" s="65" t="s">
        <v>130</v>
      </c>
      <c r="H27" s="25"/>
      <c r="I27" s="24"/>
      <c r="J27" s="14" t="s">
        <v>24</v>
      </c>
      <c r="K27" s="15" t="s">
        <v>34</v>
      </c>
      <c r="L27" s="16">
        <v>45700</v>
      </c>
      <c r="M27" s="14" t="s">
        <v>24</v>
      </c>
      <c r="N27" s="26">
        <v>0</v>
      </c>
      <c r="O27" s="29">
        <v>0</v>
      </c>
      <c r="P27" s="29">
        <v>870</v>
      </c>
      <c r="Q27" s="27">
        <v>0</v>
      </c>
      <c r="R27" s="27">
        <v>0</v>
      </c>
      <c r="S27" s="27">
        <f t="shared" si="1"/>
        <v>0</v>
      </c>
      <c r="T27" s="20" t="s">
        <v>24</v>
      </c>
      <c r="U27" s="20" t="s">
        <v>24</v>
      </c>
      <c r="V27" s="39">
        <v>0</v>
      </c>
      <c r="W27" s="22" t="s">
        <v>24</v>
      </c>
      <c r="X27" s="55"/>
      <c r="Y27" s="21" t="s">
        <v>29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s="12" customFormat="1" x14ac:dyDescent="0.25">
      <c r="A28" s="28">
        <v>45697</v>
      </c>
      <c r="B28" s="13">
        <v>45704</v>
      </c>
      <c r="C28" s="15" t="s">
        <v>59</v>
      </c>
      <c r="D28" s="15" t="s">
        <v>25</v>
      </c>
      <c r="E28" s="62" t="s">
        <v>131</v>
      </c>
      <c r="F28" s="63" t="s">
        <v>132</v>
      </c>
      <c r="G28" s="63" t="s">
        <v>133</v>
      </c>
      <c r="H28" s="14" t="s">
        <v>38</v>
      </c>
      <c r="I28" s="15" t="s">
        <v>39</v>
      </c>
      <c r="J28" s="14" t="s">
        <v>24</v>
      </c>
      <c r="K28" s="14" t="s">
        <v>42</v>
      </c>
      <c r="L28" s="16">
        <v>45700</v>
      </c>
      <c r="M28" s="14" t="s">
        <v>24</v>
      </c>
      <c r="N28" s="17">
        <v>84</v>
      </c>
      <c r="O28" s="35">
        <v>69.94</v>
      </c>
      <c r="P28" s="35">
        <v>84.13</v>
      </c>
      <c r="Q28" s="18">
        <v>3515.42</v>
      </c>
      <c r="R28" s="18">
        <v>3086.47</v>
      </c>
      <c r="S28" s="18">
        <f t="shared" si="1"/>
        <v>428.95000000000027</v>
      </c>
      <c r="T28" s="20" t="s">
        <v>24</v>
      </c>
      <c r="U28" s="20" t="s">
        <v>24</v>
      </c>
      <c r="V28" s="39">
        <v>0</v>
      </c>
      <c r="W28" s="36">
        <v>45707</v>
      </c>
      <c r="X28" s="55"/>
      <c r="Y28" s="21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s="12" customFormat="1" x14ac:dyDescent="0.25">
      <c r="A29" s="28">
        <v>45698</v>
      </c>
      <c r="B29" s="13">
        <v>45705</v>
      </c>
      <c r="C29" s="15" t="s">
        <v>59</v>
      </c>
      <c r="D29" s="15" t="s">
        <v>25</v>
      </c>
      <c r="E29" s="64" t="s">
        <v>104</v>
      </c>
      <c r="F29" s="65" t="s">
        <v>105</v>
      </c>
      <c r="G29" s="65" t="s">
        <v>134</v>
      </c>
      <c r="H29" s="14" t="s">
        <v>38</v>
      </c>
      <c r="I29" s="15" t="s">
        <v>39</v>
      </c>
      <c r="J29" s="14" t="s">
        <v>24</v>
      </c>
      <c r="K29" s="14" t="s">
        <v>42</v>
      </c>
      <c r="L29" s="16">
        <v>45701</v>
      </c>
      <c r="M29" s="14" t="s">
        <v>24</v>
      </c>
      <c r="N29" s="17">
        <v>84</v>
      </c>
      <c r="O29" s="35">
        <v>50.84</v>
      </c>
      <c r="P29" s="35">
        <v>56.42</v>
      </c>
      <c r="Q29" s="18">
        <v>2207.9699999999998</v>
      </c>
      <c r="R29" s="18">
        <v>1411.23</v>
      </c>
      <c r="S29" s="18">
        <f t="shared" si="1"/>
        <v>796.73999999999978</v>
      </c>
      <c r="T29" s="20" t="s">
        <v>24</v>
      </c>
      <c r="U29" s="20" t="s">
        <v>24</v>
      </c>
      <c r="V29" s="39">
        <v>0</v>
      </c>
      <c r="W29" s="36">
        <v>45708</v>
      </c>
      <c r="X29" s="55"/>
      <c r="Y29" s="21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s="12" customFormat="1" x14ac:dyDescent="0.25">
      <c r="A30" s="28">
        <v>45700</v>
      </c>
      <c r="B30" s="13">
        <v>45707</v>
      </c>
      <c r="C30" s="15" t="s">
        <v>59</v>
      </c>
      <c r="D30" s="15" t="s">
        <v>25</v>
      </c>
      <c r="E30" s="62" t="s">
        <v>135</v>
      </c>
      <c r="F30" s="63" t="s">
        <v>136</v>
      </c>
      <c r="G30" s="63" t="s">
        <v>137</v>
      </c>
      <c r="H30" s="14" t="s">
        <v>38</v>
      </c>
      <c r="I30" s="15" t="s">
        <v>39</v>
      </c>
      <c r="J30" s="14" t="s">
        <v>24</v>
      </c>
      <c r="K30" s="14" t="s">
        <v>42</v>
      </c>
      <c r="L30" s="16">
        <v>45703</v>
      </c>
      <c r="M30" s="14" t="s">
        <v>24</v>
      </c>
      <c r="N30" s="17">
        <v>84</v>
      </c>
      <c r="O30" s="35">
        <v>50.22</v>
      </c>
      <c r="P30" s="35">
        <v>59.64</v>
      </c>
      <c r="Q30" s="18">
        <v>2311.44</v>
      </c>
      <c r="R30" s="18">
        <v>1928.78</v>
      </c>
      <c r="S30" s="18">
        <f t="shared" si="1"/>
        <v>382.66000000000008</v>
      </c>
      <c r="T30" s="20" t="s">
        <v>24</v>
      </c>
      <c r="U30" s="20" t="s">
        <v>24</v>
      </c>
      <c r="V30" s="39">
        <v>0</v>
      </c>
      <c r="W30" s="36">
        <v>45710</v>
      </c>
      <c r="X30" s="55"/>
      <c r="Y30" s="21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1:58" s="12" customFormat="1" x14ac:dyDescent="0.25">
      <c r="A31" s="22" t="s">
        <v>24</v>
      </c>
      <c r="B31" s="13" t="s">
        <v>24</v>
      </c>
      <c r="C31" s="15" t="s">
        <v>60</v>
      </c>
      <c r="D31" s="15" t="s">
        <v>25</v>
      </c>
      <c r="E31" s="64" t="s">
        <v>138</v>
      </c>
      <c r="F31" s="65" t="s">
        <v>139</v>
      </c>
      <c r="G31" s="65" t="s">
        <v>140</v>
      </c>
      <c r="H31" s="25"/>
      <c r="I31" s="24"/>
      <c r="J31" s="14" t="s">
        <v>24</v>
      </c>
      <c r="K31" s="15" t="s">
        <v>34</v>
      </c>
      <c r="L31" s="16">
        <v>45706</v>
      </c>
      <c r="M31" s="14" t="s">
        <v>24</v>
      </c>
      <c r="N31" s="26">
        <v>0</v>
      </c>
      <c r="O31" s="29">
        <v>0</v>
      </c>
      <c r="P31" s="35">
        <v>549.9</v>
      </c>
      <c r="Q31" s="27">
        <v>0</v>
      </c>
      <c r="R31" s="27">
        <v>0</v>
      </c>
      <c r="S31" s="27">
        <f t="shared" si="1"/>
        <v>0</v>
      </c>
      <c r="T31" s="20" t="s">
        <v>24</v>
      </c>
      <c r="U31" s="20" t="s">
        <v>24</v>
      </c>
      <c r="V31" s="39">
        <v>0</v>
      </c>
      <c r="W31" s="22" t="s">
        <v>24</v>
      </c>
      <c r="X31" s="55"/>
      <c r="Y31" s="21" t="s">
        <v>29</v>
      </c>
    </row>
    <row r="32" spans="1:58" s="12" customFormat="1" x14ac:dyDescent="0.25">
      <c r="A32" s="28">
        <v>45701</v>
      </c>
      <c r="B32" s="13" t="s">
        <v>24</v>
      </c>
      <c r="C32" s="15" t="s">
        <v>60</v>
      </c>
      <c r="D32" s="15" t="s">
        <v>25</v>
      </c>
      <c r="E32" s="62" t="s">
        <v>111</v>
      </c>
      <c r="F32" s="63" t="s">
        <v>112</v>
      </c>
      <c r="G32" s="63" t="s">
        <v>141</v>
      </c>
      <c r="H32" s="14" t="s">
        <v>31</v>
      </c>
      <c r="I32" s="15" t="s">
        <v>27</v>
      </c>
      <c r="J32" s="14" t="s">
        <v>24</v>
      </c>
      <c r="K32" s="14" t="s">
        <v>28</v>
      </c>
      <c r="L32" s="16">
        <v>45704</v>
      </c>
      <c r="M32" s="14" t="s">
        <v>24</v>
      </c>
      <c r="N32" s="17">
        <v>41</v>
      </c>
      <c r="O32" s="29">
        <v>628.22</v>
      </c>
      <c r="P32" s="37">
        <v>734.41</v>
      </c>
      <c r="Q32" s="19">
        <v>20500</v>
      </c>
      <c r="R32" s="18">
        <v>0</v>
      </c>
      <c r="S32" s="18">
        <f t="shared" si="1"/>
        <v>20500</v>
      </c>
      <c r="T32" s="20" t="s">
        <v>24</v>
      </c>
      <c r="U32" s="20" t="s">
        <v>24</v>
      </c>
      <c r="V32" s="39">
        <v>0</v>
      </c>
      <c r="W32" s="36" t="s">
        <v>24</v>
      </c>
      <c r="X32" s="55"/>
      <c r="Y32" s="21" t="s">
        <v>29</v>
      </c>
    </row>
    <row r="33" spans="1:28" s="12" customFormat="1" x14ac:dyDescent="0.25">
      <c r="A33" s="22" t="s">
        <v>24</v>
      </c>
      <c r="B33" s="13" t="s">
        <v>24</v>
      </c>
      <c r="C33" s="15" t="s">
        <v>60</v>
      </c>
      <c r="D33" s="15" t="s">
        <v>25</v>
      </c>
      <c r="E33" s="64" t="s">
        <v>142</v>
      </c>
      <c r="F33" s="65" t="s">
        <v>143</v>
      </c>
      <c r="G33" s="65" t="s">
        <v>144</v>
      </c>
      <c r="H33" s="25"/>
      <c r="I33" s="24"/>
      <c r="J33" s="14" t="s">
        <v>24</v>
      </c>
      <c r="K33" s="15" t="s">
        <v>34</v>
      </c>
      <c r="L33" s="16">
        <v>45709</v>
      </c>
      <c r="M33" s="14" t="s">
        <v>24</v>
      </c>
      <c r="N33" s="26">
        <v>0</v>
      </c>
      <c r="O33" s="29">
        <v>0</v>
      </c>
      <c r="P33" s="35">
        <v>304.51</v>
      </c>
      <c r="Q33" s="27">
        <v>0</v>
      </c>
      <c r="R33" s="27">
        <v>0</v>
      </c>
      <c r="S33" s="27">
        <f t="shared" si="1"/>
        <v>0</v>
      </c>
      <c r="T33" s="20" t="s">
        <v>24</v>
      </c>
      <c r="U33" s="20" t="s">
        <v>24</v>
      </c>
      <c r="V33" s="39">
        <v>0</v>
      </c>
      <c r="W33" s="22" t="s">
        <v>24</v>
      </c>
      <c r="X33" s="55"/>
      <c r="Y33" s="21" t="s">
        <v>29</v>
      </c>
    </row>
    <row r="34" spans="1:28" s="12" customFormat="1" x14ac:dyDescent="0.25">
      <c r="A34" s="38">
        <v>45703</v>
      </c>
      <c r="B34" s="22">
        <v>45710</v>
      </c>
      <c r="C34" s="15" t="s">
        <v>61</v>
      </c>
      <c r="D34" s="23" t="s">
        <v>25</v>
      </c>
      <c r="E34" s="62" t="s">
        <v>128</v>
      </c>
      <c r="F34" s="63" t="s">
        <v>129</v>
      </c>
      <c r="G34" s="63" t="s">
        <v>145</v>
      </c>
      <c r="H34" s="14" t="s">
        <v>38</v>
      </c>
      <c r="I34" s="24" t="s">
        <v>39</v>
      </c>
      <c r="J34" s="14" t="s">
        <v>24</v>
      </c>
      <c r="K34" s="25" t="s">
        <v>28</v>
      </c>
      <c r="L34" s="16">
        <v>45706</v>
      </c>
      <c r="M34" s="14" t="s">
        <v>24</v>
      </c>
      <c r="N34" s="17">
        <v>84</v>
      </c>
      <c r="O34" s="29">
        <v>249.12</v>
      </c>
      <c r="P34" s="35">
        <v>373.6</v>
      </c>
      <c r="Q34" s="18">
        <v>0</v>
      </c>
      <c r="R34" s="18">
        <v>0</v>
      </c>
      <c r="S34" s="18">
        <f t="shared" si="1"/>
        <v>0</v>
      </c>
      <c r="T34" s="20" t="s">
        <v>24</v>
      </c>
      <c r="U34" s="20" t="s">
        <v>24</v>
      </c>
      <c r="V34" s="39">
        <v>0</v>
      </c>
      <c r="W34" s="36" t="s">
        <v>24</v>
      </c>
      <c r="X34" s="55"/>
      <c r="Y34" s="21"/>
    </row>
    <row r="35" spans="1:28" s="12" customFormat="1" x14ac:dyDescent="0.25">
      <c r="A35" s="38">
        <v>45704</v>
      </c>
      <c r="B35" s="22">
        <v>45711</v>
      </c>
      <c r="C35" s="15" t="s">
        <v>61</v>
      </c>
      <c r="D35" s="23" t="s">
        <v>25</v>
      </c>
      <c r="E35" s="64" t="s">
        <v>146</v>
      </c>
      <c r="F35" s="65" t="s">
        <v>147</v>
      </c>
      <c r="G35" s="65" t="s">
        <v>148</v>
      </c>
      <c r="H35" s="14" t="s">
        <v>31</v>
      </c>
      <c r="I35" s="24" t="s">
        <v>39</v>
      </c>
      <c r="J35" s="14" t="s">
        <v>24</v>
      </c>
      <c r="K35" s="25" t="s">
        <v>28</v>
      </c>
      <c r="L35" s="16">
        <v>45707</v>
      </c>
      <c r="M35" s="14" t="s">
        <v>24</v>
      </c>
      <c r="N35" s="17">
        <v>56</v>
      </c>
      <c r="O35" s="29">
        <v>249.12</v>
      </c>
      <c r="P35" s="35">
        <v>373.6</v>
      </c>
      <c r="Q35" s="19">
        <v>10000</v>
      </c>
      <c r="R35" s="18">
        <v>0</v>
      </c>
      <c r="S35" s="18">
        <f t="shared" si="1"/>
        <v>10000</v>
      </c>
      <c r="T35" s="20" t="s">
        <v>24</v>
      </c>
      <c r="U35" s="20" t="s">
        <v>24</v>
      </c>
      <c r="V35" s="39">
        <v>0</v>
      </c>
      <c r="W35" s="36" t="s">
        <v>24</v>
      </c>
      <c r="X35" s="55"/>
      <c r="Y35" s="21" t="s">
        <v>29</v>
      </c>
    </row>
    <row r="36" spans="1:28" s="12" customFormat="1" x14ac:dyDescent="0.25">
      <c r="A36" s="38">
        <v>45706</v>
      </c>
      <c r="B36" s="22">
        <v>45713</v>
      </c>
      <c r="C36" s="15" t="s">
        <v>59</v>
      </c>
      <c r="D36" s="23" t="s">
        <v>25</v>
      </c>
      <c r="E36" s="62" t="s">
        <v>149</v>
      </c>
      <c r="F36" s="63" t="s">
        <v>150</v>
      </c>
      <c r="G36" s="63" t="s">
        <v>151</v>
      </c>
      <c r="H36" s="14" t="s">
        <v>38</v>
      </c>
      <c r="I36" s="15" t="s">
        <v>39</v>
      </c>
      <c r="J36" s="14" t="s">
        <v>24</v>
      </c>
      <c r="K36" s="25" t="s">
        <v>28</v>
      </c>
      <c r="L36" s="16">
        <v>45709</v>
      </c>
      <c r="M36" s="14" t="s">
        <v>24</v>
      </c>
      <c r="N36" s="17">
        <v>84</v>
      </c>
      <c r="O36" s="29">
        <v>832.76</v>
      </c>
      <c r="P36" s="29">
        <v>1000</v>
      </c>
      <c r="Q36" s="18">
        <v>0</v>
      </c>
      <c r="R36" s="18">
        <v>0</v>
      </c>
      <c r="S36" s="18">
        <f t="shared" si="1"/>
        <v>0</v>
      </c>
      <c r="T36" s="20" t="s">
        <v>24</v>
      </c>
      <c r="U36" s="20" t="s">
        <v>24</v>
      </c>
      <c r="V36" s="39">
        <v>0</v>
      </c>
      <c r="W36" s="36" t="s">
        <v>24</v>
      </c>
      <c r="X36" s="55"/>
      <c r="Y36" s="21"/>
    </row>
    <row r="37" spans="1:28" s="12" customFormat="1" x14ac:dyDescent="0.25">
      <c r="A37" s="38">
        <v>45707</v>
      </c>
      <c r="B37" s="22">
        <v>45714</v>
      </c>
      <c r="C37" s="15" t="s">
        <v>59</v>
      </c>
      <c r="D37" s="23" t="s">
        <v>25</v>
      </c>
      <c r="E37" s="64" t="s">
        <v>152</v>
      </c>
      <c r="F37" s="65" t="s">
        <v>153</v>
      </c>
      <c r="G37" s="65" t="s">
        <v>154</v>
      </c>
      <c r="H37" s="14" t="s">
        <v>31</v>
      </c>
      <c r="I37" s="15" t="s">
        <v>39</v>
      </c>
      <c r="J37" s="14" t="s">
        <v>24</v>
      </c>
      <c r="K37" s="25" t="s">
        <v>28</v>
      </c>
      <c r="L37" s="16">
        <v>45710</v>
      </c>
      <c r="M37" s="14" t="s">
        <v>24</v>
      </c>
      <c r="N37" s="17">
        <v>60</v>
      </c>
      <c r="O37" s="29">
        <v>983.52</v>
      </c>
      <c r="P37" s="29">
        <v>1000</v>
      </c>
      <c r="Q37" s="32">
        <v>41800</v>
      </c>
      <c r="R37" s="18">
        <v>0</v>
      </c>
      <c r="S37" s="18">
        <f t="shared" si="1"/>
        <v>41800</v>
      </c>
      <c r="T37" s="20" t="s">
        <v>24</v>
      </c>
      <c r="U37" s="20" t="s">
        <v>24</v>
      </c>
      <c r="V37" s="39">
        <v>0</v>
      </c>
      <c r="W37" s="36" t="s">
        <v>24</v>
      </c>
      <c r="X37" s="55"/>
      <c r="Y37" s="21" t="s">
        <v>29</v>
      </c>
    </row>
    <row r="38" spans="1:28" s="12" customFormat="1" x14ac:dyDescent="0.25">
      <c r="A38" s="38">
        <v>45709</v>
      </c>
      <c r="B38" s="22" t="s">
        <v>24</v>
      </c>
      <c r="C38" s="15" t="s">
        <v>59</v>
      </c>
      <c r="D38" s="15" t="s">
        <v>25</v>
      </c>
      <c r="E38" s="62" t="s">
        <v>155</v>
      </c>
      <c r="F38" s="63" t="s">
        <v>156</v>
      </c>
      <c r="G38" s="63" t="s">
        <v>157</v>
      </c>
      <c r="H38" s="14" t="s">
        <v>43</v>
      </c>
      <c r="I38" s="15" t="s">
        <v>44</v>
      </c>
      <c r="J38" s="14" t="s">
        <v>24</v>
      </c>
      <c r="K38" s="25" t="s">
        <v>45</v>
      </c>
      <c r="L38" s="16">
        <v>45712</v>
      </c>
      <c r="M38" s="14" t="s">
        <v>24</v>
      </c>
      <c r="N38" s="17">
        <v>0</v>
      </c>
      <c r="O38" s="29">
        <v>0</v>
      </c>
      <c r="P38" s="29">
        <v>0</v>
      </c>
      <c r="Q38" s="18">
        <v>217.11</v>
      </c>
      <c r="R38" s="18">
        <v>0</v>
      </c>
      <c r="S38" s="18">
        <f t="shared" si="1"/>
        <v>217.11</v>
      </c>
      <c r="T38" s="20" t="s">
        <v>24</v>
      </c>
      <c r="U38" s="20" t="s">
        <v>24</v>
      </c>
      <c r="V38" s="39">
        <v>0</v>
      </c>
      <c r="W38" s="36" t="s">
        <v>24</v>
      </c>
      <c r="X38" s="55"/>
      <c r="Y38" s="21" t="s">
        <v>29</v>
      </c>
      <c r="AA38"/>
      <c r="AB38"/>
    </row>
    <row r="39" spans="1:28" s="12" customFormat="1" x14ac:dyDescent="0.25">
      <c r="A39" s="38">
        <v>45710</v>
      </c>
      <c r="B39" s="22">
        <v>45717</v>
      </c>
      <c r="C39" s="15" t="s">
        <v>59</v>
      </c>
      <c r="D39" s="23" t="s">
        <v>25</v>
      </c>
      <c r="E39" s="64" t="s">
        <v>158</v>
      </c>
      <c r="F39" s="65" t="s">
        <v>159</v>
      </c>
      <c r="G39" s="65" t="s">
        <v>160</v>
      </c>
      <c r="H39" s="14" t="s">
        <v>31</v>
      </c>
      <c r="I39" s="15" t="s">
        <v>39</v>
      </c>
      <c r="J39" s="14" t="s">
        <v>24</v>
      </c>
      <c r="K39" s="25" t="s">
        <v>28</v>
      </c>
      <c r="L39" s="16">
        <v>45713</v>
      </c>
      <c r="M39" s="14" t="s">
        <v>24</v>
      </c>
      <c r="N39" s="17">
        <v>72</v>
      </c>
      <c r="O39" s="29">
        <v>60.09</v>
      </c>
      <c r="P39" s="29">
        <v>95.37</v>
      </c>
      <c r="Q39" s="32">
        <v>2850</v>
      </c>
      <c r="R39" s="18">
        <v>0</v>
      </c>
      <c r="S39" s="18">
        <f t="shared" si="1"/>
        <v>2850</v>
      </c>
      <c r="T39" s="20" t="s">
        <v>24</v>
      </c>
      <c r="U39" s="20" t="s">
        <v>24</v>
      </c>
      <c r="V39" s="39">
        <v>0</v>
      </c>
      <c r="W39" s="36" t="s">
        <v>24</v>
      </c>
      <c r="X39" s="55"/>
      <c r="Y39" s="21" t="s">
        <v>29</v>
      </c>
      <c r="AA39"/>
      <c r="AB39"/>
    </row>
    <row r="40" spans="1:28" s="12" customFormat="1" x14ac:dyDescent="0.25">
      <c r="A40" s="38">
        <v>45712</v>
      </c>
      <c r="B40" s="22" t="s">
        <v>24</v>
      </c>
      <c r="C40" s="15" t="s">
        <v>59</v>
      </c>
      <c r="D40" s="23" t="s">
        <v>25</v>
      </c>
      <c r="E40" s="62" t="s">
        <v>161</v>
      </c>
      <c r="F40" s="63" t="s">
        <v>162</v>
      </c>
      <c r="G40" s="63" t="s">
        <v>163</v>
      </c>
      <c r="H40" s="14" t="s">
        <v>30</v>
      </c>
      <c r="I40" s="15" t="s">
        <v>46</v>
      </c>
      <c r="J40" s="14" t="s">
        <v>24</v>
      </c>
      <c r="K40" s="25" t="s">
        <v>32</v>
      </c>
      <c r="L40" s="16">
        <v>45715</v>
      </c>
      <c r="M40" s="14" t="s">
        <v>24</v>
      </c>
      <c r="N40" s="17">
        <v>84</v>
      </c>
      <c r="O40" s="29">
        <v>0</v>
      </c>
      <c r="P40" s="29">
        <v>37.61</v>
      </c>
      <c r="Q40" s="18">
        <v>1568.39</v>
      </c>
      <c r="R40" s="18">
        <v>1260.81</v>
      </c>
      <c r="S40" s="18">
        <f t="shared" si="1"/>
        <v>307.58000000000015</v>
      </c>
      <c r="T40" s="20" t="s">
        <v>24</v>
      </c>
      <c r="U40" s="20" t="s">
        <v>24</v>
      </c>
      <c r="V40" s="39">
        <v>0</v>
      </c>
      <c r="W40" s="36" t="s">
        <v>24</v>
      </c>
      <c r="X40" s="55"/>
      <c r="Y40" s="21" t="s">
        <v>29</v>
      </c>
      <c r="AA40"/>
      <c r="AB40"/>
    </row>
    <row r="41" spans="1:28" s="12" customFormat="1" x14ac:dyDescent="0.25">
      <c r="A41" s="38">
        <v>45713</v>
      </c>
      <c r="B41" s="22" t="s">
        <v>24</v>
      </c>
      <c r="C41" s="15" t="s">
        <v>59</v>
      </c>
      <c r="D41" s="23" t="s">
        <v>25</v>
      </c>
      <c r="E41" s="64" t="s">
        <v>138</v>
      </c>
      <c r="F41" s="65" t="s">
        <v>139</v>
      </c>
      <c r="G41" s="65" t="s">
        <v>164</v>
      </c>
      <c r="H41" s="14" t="s">
        <v>30</v>
      </c>
      <c r="I41" s="15" t="s">
        <v>46</v>
      </c>
      <c r="J41" s="14" t="s">
        <v>24</v>
      </c>
      <c r="K41" s="25" t="s">
        <v>32</v>
      </c>
      <c r="L41" s="16">
        <v>45716</v>
      </c>
      <c r="M41" s="14" t="s">
        <v>24</v>
      </c>
      <c r="N41" s="17">
        <v>84</v>
      </c>
      <c r="O41" s="29">
        <v>0</v>
      </c>
      <c r="P41" s="29">
        <v>35.22</v>
      </c>
      <c r="Q41" s="18">
        <v>1710.54</v>
      </c>
      <c r="R41" s="18">
        <v>1431.93</v>
      </c>
      <c r="S41" s="18">
        <f t="shared" si="1"/>
        <v>278.6099999999999</v>
      </c>
      <c r="T41" s="20" t="s">
        <v>24</v>
      </c>
      <c r="U41" s="20" t="s">
        <v>24</v>
      </c>
      <c r="V41" s="39">
        <v>0</v>
      </c>
      <c r="W41" s="36" t="s">
        <v>24</v>
      </c>
      <c r="X41" s="55"/>
      <c r="Y41" s="21" t="s">
        <v>29</v>
      </c>
      <c r="AA41"/>
      <c r="AB41"/>
    </row>
    <row r="42" spans="1:28" s="12" customFormat="1" x14ac:dyDescent="0.25">
      <c r="A42" s="38">
        <v>45715</v>
      </c>
      <c r="B42" s="22">
        <v>45722</v>
      </c>
      <c r="C42" s="15" t="s">
        <v>60</v>
      </c>
      <c r="D42" s="23" t="s">
        <v>25</v>
      </c>
      <c r="E42" s="62" t="s">
        <v>165</v>
      </c>
      <c r="F42" s="63" t="s">
        <v>166</v>
      </c>
      <c r="G42" s="63" t="s">
        <v>167</v>
      </c>
      <c r="H42" s="14" t="s">
        <v>31</v>
      </c>
      <c r="I42" s="31" t="s">
        <v>39</v>
      </c>
      <c r="J42" s="14" t="s">
        <v>24</v>
      </c>
      <c r="K42" s="25" t="s">
        <v>28</v>
      </c>
      <c r="L42" s="16">
        <v>45718</v>
      </c>
      <c r="M42" s="14" t="s">
        <v>24</v>
      </c>
      <c r="N42" s="26">
        <v>57</v>
      </c>
      <c r="O42" s="29">
        <v>196.77</v>
      </c>
      <c r="P42" s="35">
        <v>299.3</v>
      </c>
      <c r="Q42" s="35">
        <v>8000</v>
      </c>
      <c r="R42" s="27">
        <v>0</v>
      </c>
      <c r="S42" s="27">
        <f t="shared" si="1"/>
        <v>8000</v>
      </c>
      <c r="T42" s="20" t="s">
        <v>24</v>
      </c>
      <c r="U42" s="20" t="s">
        <v>24</v>
      </c>
      <c r="V42" s="39">
        <v>0</v>
      </c>
      <c r="W42" s="22" t="s">
        <v>24</v>
      </c>
      <c r="X42" s="55"/>
      <c r="Y42" s="21" t="s">
        <v>29</v>
      </c>
      <c r="AA42"/>
      <c r="AB42"/>
    </row>
    <row r="43" spans="1:28" s="12" customFormat="1" x14ac:dyDescent="0.25">
      <c r="A43" s="38">
        <v>45717</v>
      </c>
      <c r="B43" s="22" t="s">
        <v>24</v>
      </c>
      <c r="C43" s="15" t="s">
        <v>60</v>
      </c>
      <c r="D43" s="23" t="s">
        <v>25</v>
      </c>
      <c r="E43" s="64" t="s">
        <v>168</v>
      </c>
      <c r="F43" s="65" t="s">
        <v>169</v>
      </c>
      <c r="G43" s="65" t="s">
        <v>170</v>
      </c>
      <c r="H43" s="31" t="s">
        <v>26</v>
      </c>
      <c r="I43" s="31" t="s">
        <v>39</v>
      </c>
      <c r="J43" s="14" t="s">
        <v>24</v>
      </c>
      <c r="K43" s="25" t="s">
        <v>28</v>
      </c>
      <c r="L43" s="16">
        <v>45720</v>
      </c>
      <c r="M43" s="14" t="s">
        <v>24</v>
      </c>
      <c r="N43" s="17">
        <v>84</v>
      </c>
      <c r="O43" s="29">
        <v>0</v>
      </c>
      <c r="P43" s="35">
        <v>73.459999999999994</v>
      </c>
      <c r="Q43" s="35">
        <v>3016.62</v>
      </c>
      <c r="R43" s="18">
        <v>0</v>
      </c>
      <c r="S43" s="18">
        <f t="shared" si="1"/>
        <v>3016.62</v>
      </c>
      <c r="T43" s="20" t="s">
        <v>24</v>
      </c>
      <c r="U43" s="20" t="s">
        <v>24</v>
      </c>
      <c r="V43" s="39">
        <v>0</v>
      </c>
      <c r="W43" s="36" t="s">
        <v>24</v>
      </c>
      <c r="X43" s="55"/>
      <c r="Y43" s="21" t="s">
        <v>29</v>
      </c>
      <c r="AA43"/>
      <c r="AB43"/>
    </row>
    <row r="44" spans="1:28" s="12" customFormat="1" x14ac:dyDescent="0.25">
      <c r="A44" s="38">
        <v>45718</v>
      </c>
      <c r="B44" s="22" t="s">
        <v>24</v>
      </c>
      <c r="C44" s="15" t="s">
        <v>60</v>
      </c>
      <c r="D44" s="23" t="s">
        <v>25</v>
      </c>
      <c r="E44" s="62" t="s">
        <v>171</v>
      </c>
      <c r="F44" s="63" t="s">
        <v>172</v>
      </c>
      <c r="G44" s="63" t="s">
        <v>173</v>
      </c>
      <c r="H44" s="31" t="s">
        <v>26</v>
      </c>
      <c r="I44" s="31" t="s">
        <v>39</v>
      </c>
      <c r="J44" s="14" t="s">
        <v>24</v>
      </c>
      <c r="K44" s="25" t="s">
        <v>28</v>
      </c>
      <c r="L44" s="16">
        <v>45721</v>
      </c>
      <c r="M44" s="14" t="s">
        <v>24</v>
      </c>
      <c r="N44" s="17">
        <v>84</v>
      </c>
      <c r="O44" s="29">
        <v>0</v>
      </c>
      <c r="P44" s="35">
        <v>88.73</v>
      </c>
      <c r="Q44" s="35">
        <v>3642.44</v>
      </c>
      <c r="R44" s="18">
        <v>0</v>
      </c>
      <c r="S44" s="18">
        <f t="shared" si="1"/>
        <v>3642.44</v>
      </c>
      <c r="T44" s="20" t="s">
        <v>24</v>
      </c>
      <c r="U44" s="20" t="s">
        <v>24</v>
      </c>
      <c r="V44" s="39">
        <v>0</v>
      </c>
      <c r="W44" s="36" t="s">
        <v>24</v>
      </c>
      <c r="X44" s="55"/>
      <c r="Y44" s="21" t="s">
        <v>29</v>
      </c>
      <c r="AA44"/>
      <c r="AB44"/>
    </row>
    <row r="45" spans="1:28" s="12" customFormat="1" x14ac:dyDescent="0.25">
      <c r="A45" s="38">
        <v>45720</v>
      </c>
      <c r="B45" s="22"/>
      <c r="C45" s="15" t="s">
        <v>59</v>
      </c>
      <c r="D45" s="23" t="s">
        <v>25</v>
      </c>
      <c r="E45" s="64" t="s">
        <v>99</v>
      </c>
      <c r="F45" s="65" t="s">
        <v>100</v>
      </c>
      <c r="G45" s="65" t="s">
        <v>174</v>
      </c>
      <c r="H45" s="14" t="s">
        <v>38</v>
      </c>
      <c r="I45" s="31" t="s">
        <v>39</v>
      </c>
      <c r="J45" s="14" t="s">
        <v>24</v>
      </c>
      <c r="K45" s="25" t="s">
        <v>28</v>
      </c>
      <c r="L45" s="16">
        <v>45723</v>
      </c>
      <c r="M45" s="14" t="s">
        <v>24</v>
      </c>
      <c r="N45" s="17">
        <v>84</v>
      </c>
      <c r="O45" s="29">
        <v>285</v>
      </c>
      <c r="P45" s="29">
        <v>0</v>
      </c>
      <c r="Q45" s="18">
        <v>0</v>
      </c>
      <c r="R45" s="18">
        <v>0</v>
      </c>
      <c r="S45" s="18">
        <f t="shared" si="1"/>
        <v>0</v>
      </c>
      <c r="T45" s="20" t="s">
        <v>24</v>
      </c>
      <c r="U45" s="20" t="s">
        <v>24</v>
      </c>
      <c r="V45" s="39">
        <v>0</v>
      </c>
      <c r="W45" s="36" t="s">
        <v>24</v>
      </c>
      <c r="X45" s="55"/>
      <c r="Y45" s="21" t="s">
        <v>29</v>
      </c>
      <c r="AA45"/>
      <c r="AB45"/>
    </row>
    <row r="46" spans="1:28" s="12" customFormat="1" x14ac:dyDescent="0.25">
      <c r="A46" s="38">
        <v>45722</v>
      </c>
      <c r="B46" s="22"/>
      <c r="C46" s="15" t="s">
        <v>59</v>
      </c>
      <c r="D46" s="23" t="s">
        <v>25</v>
      </c>
      <c r="E46" s="62" t="s">
        <v>175</v>
      </c>
      <c r="F46" s="63" t="s">
        <v>176</v>
      </c>
      <c r="G46" s="63" t="s">
        <v>177</v>
      </c>
      <c r="H46" s="14" t="s">
        <v>31</v>
      </c>
      <c r="I46" s="31" t="s">
        <v>39</v>
      </c>
      <c r="J46" s="14" t="s">
        <v>24</v>
      </c>
      <c r="K46" s="25" t="s">
        <v>28</v>
      </c>
      <c r="L46" s="16">
        <v>45725</v>
      </c>
      <c r="M46" s="14" t="s">
        <v>24</v>
      </c>
      <c r="N46" s="17">
        <v>57</v>
      </c>
      <c r="O46" s="29">
        <v>344.35</v>
      </c>
      <c r="P46" s="29">
        <v>0</v>
      </c>
      <c r="Q46" s="32">
        <v>14000</v>
      </c>
      <c r="R46" s="18">
        <v>0</v>
      </c>
      <c r="S46" s="18">
        <f t="shared" si="1"/>
        <v>14000</v>
      </c>
      <c r="T46" s="20" t="s">
        <v>24</v>
      </c>
      <c r="U46" s="20" t="s">
        <v>24</v>
      </c>
      <c r="V46" s="39">
        <v>0</v>
      </c>
      <c r="W46" s="36" t="s">
        <v>24</v>
      </c>
      <c r="X46" s="55"/>
      <c r="Y46" s="21" t="s">
        <v>29</v>
      </c>
      <c r="AA46"/>
      <c r="AB46"/>
    </row>
    <row r="47" spans="1:28" s="12" customFormat="1" x14ac:dyDescent="0.25">
      <c r="A47" s="16">
        <v>45723</v>
      </c>
      <c r="B47" s="22" t="s">
        <v>24</v>
      </c>
      <c r="C47" s="15" t="s">
        <v>59</v>
      </c>
      <c r="D47" s="23" t="s">
        <v>25</v>
      </c>
      <c r="E47" s="64" t="s">
        <v>178</v>
      </c>
      <c r="F47" s="65" t="s">
        <v>179</v>
      </c>
      <c r="G47" s="65" t="s">
        <v>180</v>
      </c>
      <c r="H47" s="14" t="s">
        <v>26</v>
      </c>
      <c r="I47" s="23" t="s">
        <v>39</v>
      </c>
      <c r="J47" s="14" t="s">
        <v>24</v>
      </c>
      <c r="K47" s="25" t="s">
        <v>28</v>
      </c>
      <c r="L47" s="16">
        <v>45726</v>
      </c>
      <c r="M47" s="14" t="s">
        <v>24</v>
      </c>
      <c r="N47" s="17">
        <v>0</v>
      </c>
      <c r="O47" s="18">
        <v>0</v>
      </c>
      <c r="P47" s="18">
        <v>74.849999999999994</v>
      </c>
      <c r="Q47" s="32">
        <v>0</v>
      </c>
      <c r="R47" s="18">
        <v>0</v>
      </c>
      <c r="S47" s="18">
        <f t="shared" si="1"/>
        <v>0</v>
      </c>
      <c r="T47" s="20" t="s">
        <v>24</v>
      </c>
      <c r="U47" s="20" t="s">
        <v>24</v>
      </c>
      <c r="V47" s="39">
        <v>0</v>
      </c>
      <c r="W47" s="36" t="s">
        <v>24</v>
      </c>
      <c r="X47" s="55"/>
      <c r="Y47" s="21"/>
      <c r="AA47"/>
      <c r="AB47"/>
    </row>
    <row r="48" spans="1:28" s="12" customFormat="1" x14ac:dyDescent="0.25">
      <c r="A48" s="16">
        <v>45725</v>
      </c>
      <c r="B48" s="22" t="s">
        <v>24</v>
      </c>
      <c r="C48" s="15" t="s">
        <v>59</v>
      </c>
      <c r="D48" s="23" t="s">
        <v>25</v>
      </c>
      <c r="E48" s="62" t="s">
        <v>181</v>
      </c>
      <c r="F48" s="63" t="s">
        <v>182</v>
      </c>
      <c r="G48" s="63" t="s">
        <v>183</v>
      </c>
      <c r="H48" s="14" t="s">
        <v>26</v>
      </c>
      <c r="I48" s="23" t="s">
        <v>39</v>
      </c>
      <c r="J48" s="14" t="s">
        <v>24</v>
      </c>
      <c r="K48" s="25" t="s">
        <v>28</v>
      </c>
      <c r="L48" s="16">
        <v>45728</v>
      </c>
      <c r="M48" s="14" t="s">
        <v>24</v>
      </c>
      <c r="N48" s="17">
        <v>0</v>
      </c>
      <c r="O48" s="18">
        <v>0</v>
      </c>
      <c r="P48" s="18">
        <v>33.32</v>
      </c>
      <c r="Q48" s="32">
        <v>0</v>
      </c>
      <c r="R48" s="18">
        <v>0</v>
      </c>
      <c r="S48" s="18">
        <f t="shared" si="1"/>
        <v>0</v>
      </c>
      <c r="T48" s="20" t="s">
        <v>24</v>
      </c>
      <c r="U48" s="20" t="s">
        <v>24</v>
      </c>
      <c r="V48" s="39">
        <v>0</v>
      </c>
      <c r="W48" s="36" t="s">
        <v>24</v>
      </c>
      <c r="X48" s="55"/>
      <c r="Y48" s="21"/>
      <c r="AA48"/>
      <c r="AB48"/>
    </row>
    <row r="49" spans="1:28" s="12" customFormat="1" x14ac:dyDescent="0.25">
      <c r="A49" s="16">
        <v>45727</v>
      </c>
      <c r="B49" s="22" t="s">
        <v>24</v>
      </c>
      <c r="C49" s="15" t="s">
        <v>59</v>
      </c>
      <c r="D49" s="23" t="s">
        <v>25</v>
      </c>
      <c r="E49" s="64" t="s">
        <v>184</v>
      </c>
      <c r="F49" s="65" t="s">
        <v>185</v>
      </c>
      <c r="G49" s="65" t="s">
        <v>186</v>
      </c>
      <c r="H49" s="14" t="s">
        <v>38</v>
      </c>
      <c r="I49" s="23" t="s">
        <v>39</v>
      </c>
      <c r="J49" s="14" t="s">
        <v>24</v>
      </c>
      <c r="K49" s="25" t="s">
        <v>28</v>
      </c>
      <c r="L49" s="16">
        <v>45730</v>
      </c>
      <c r="M49" s="14" t="s">
        <v>24</v>
      </c>
      <c r="N49" s="17">
        <v>0</v>
      </c>
      <c r="O49" s="18">
        <v>178</v>
      </c>
      <c r="P49" s="18">
        <v>286.2</v>
      </c>
      <c r="Q49" s="18">
        <v>0</v>
      </c>
      <c r="R49" s="18">
        <v>0</v>
      </c>
      <c r="S49" s="18">
        <f t="shared" si="1"/>
        <v>0</v>
      </c>
      <c r="T49" s="20" t="s">
        <v>24</v>
      </c>
      <c r="U49" s="20" t="s">
        <v>24</v>
      </c>
      <c r="V49" s="39">
        <v>0</v>
      </c>
      <c r="W49" s="36" t="s">
        <v>24</v>
      </c>
      <c r="X49" s="55"/>
      <c r="Y49" s="21"/>
      <c r="AA49"/>
      <c r="AB49"/>
    </row>
    <row r="50" spans="1:28" s="12" customFormat="1" x14ac:dyDescent="0.25">
      <c r="A50" s="16">
        <v>45728</v>
      </c>
      <c r="B50" s="22" t="s">
        <v>24</v>
      </c>
      <c r="C50" s="15" t="s">
        <v>59</v>
      </c>
      <c r="D50" s="23" t="s">
        <v>25</v>
      </c>
      <c r="E50" s="62" t="s">
        <v>114</v>
      </c>
      <c r="F50" s="63" t="s">
        <v>115</v>
      </c>
      <c r="G50" s="63" t="s">
        <v>187</v>
      </c>
      <c r="H50" s="14" t="s">
        <v>31</v>
      </c>
      <c r="I50" s="23" t="s">
        <v>39</v>
      </c>
      <c r="J50" s="14" t="s">
        <v>24</v>
      </c>
      <c r="K50" s="25" t="s">
        <v>28</v>
      </c>
      <c r="L50" s="16">
        <v>45731</v>
      </c>
      <c r="M50" s="14" t="s">
        <v>24</v>
      </c>
      <c r="N50" s="17">
        <v>0</v>
      </c>
      <c r="O50" s="18">
        <v>252.88</v>
      </c>
      <c r="P50" s="18">
        <v>286.2</v>
      </c>
      <c r="Q50" s="32">
        <v>0</v>
      </c>
      <c r="R50" s="18">
        <v>0</v>
      </c>
      <c r="S50" s="18">
        <f t="shared" si="1"/>
        <v>0</v>
      </c>
      <c r="T50" s="20" t="s">
        <v>24</v>
      </c>
      <c r="U50" s="20" t="s">
        <v>24</v>
      </c>
      <c r="V50" s="39">
        <v>0</v>
      </c>
      <c r="W50" s="36" t="s">
        <v>24</v>
      </c>
      <c r="X50" s="21"/>
      <c r="Y50" s="21" t="s">
        <v>29</v>
      </c>
      <c r="AA50"/>
      <c r="AB50"/>
    </row>
    <row r="51" spans="1:28" s="12" customFormat="1" x14ac:dyDescent="0.25">
      <c r="A51" s="33">
        <v>45730</v>
      </c>
      <c r="B51" s="13" t="s">
        <v>24</v>
      </c>
      <c r="C51" s="15" t="s">
        <v>33</v>
      </c>
      <c r="D51" s="15" t="s">
        <v>25</v>
      </c>
      <c r="E51" s="64" t="s">
        <v>188</v>
      </c>
      <c r="F51" s="65" t="s">
        <v>189</v>
      </c>
      <c r="G51" s="65" t="s">
        <v>190</v>
      </c>
      <c r="H51" s="14" t="s">
        <v>31</v>
      </c>
      <c r="I51" s="34" t="s">
        <v>27</v>
      </c>
      <c r="J51" s="14" t="s">
        <v>24</v>
      </c>
      <c r="K51" s="14" t="s">
        <v>45</v>
      </c>
      <c r="L51" s="16">
        <v>45733</v>
      </c>
      <c r="M51" s="14" t="s">
        <v>24</v>
      </c>
      <c r="N51" s="17">
        <v>60</v>
      </c>
      <c r="O51" s="29">
        <v>249.33</v>
      </c>
      <c r="P51" s="35">
        <v>313</v>
      </c>
      <c r="Q51" s="35">
        <v>10850</v>
      </c>
      <c r="R51" s="18">
        <v>0</v>
      </c>
      <c r="S51" s="18">
        <f t="shared" si="1"/>
        <v>10850</v>
      </c>
      <c r="T51" s="20" t="s">
        <v>24</v>
      </c>
      <c r="U51" s="20" t="s">
        <v>24</v>
      </c>
      <c r="V51" s="39">
        <v>0</v>
      </c>
      <c r="W51" s="36" t="s">
        <v>24</v>
      </c>
      <c r="X51" s="55"/>
      <c r="Y51" s="21" t="s">
        <v>29</v>
      </c>
      <c r="AA51"/>
      <c r="AB51"/>
    </row>
    <row r="52" spans="1:28" s="12" customFormat="1" x14ac:dyDescent="0.25">
      <c r="A52" s="33">
        <v>45732</v>
      </c>
      <c r="B52" s="13">
        <v>45739</v>
      </c>
      <c r="C52" s="15" t="s">
        <v>33</v>
      </c>
      <c r="D52" s="15" t="s">
        <v>25</v>
      </c>
      <c r="E52" s="62" t="s">
        <v>191</v>
      </c>
      <c r="F52" s="63" t="s">
        <v>64</v>
      </c>
      <c r="G52" s="63" t="s">
        <v>192</v>
      </c>
      <c r="H52" s="14" t="s">
        <v>31</v>
      </c>
      <c r="I52" s="34" t="s">
        <v>27</v>
      </c>
      <c r="J52" s="14" t="s">
        <v>24</v>
      </c>
      <c r="K52" s="14" t="s">
        <v>28</v>
      </c>
      <c r="L52" s="16">
        <v>45735</v>
      </c>
      <c r="M52" s="14" t="s">
        <v>24</v>
      </c>
      <c r="N52" s="17">
        <v>0</v>
      </c>
      <c r="O52" s="29">
        <v>415.87</v>
      </c>
      <c r="P52" s="41">
        <v>494.7</v>
      </c>
      <c r="Q52" s="35">
        <v>17000</v>
      </c>
      <c r="R52" s="18">
        <v>0</v>
      </c>
      <c r="S52" s="18">
        <f t="shared" si="1"/>
        <v>17000</v>
      </c>
      <c r="T52" s="20" t="s">
        <v>24</v>
      </c>
      <c r="U52" s="20" t="s">
        <v>24</v>
      </c>
      <c r="V52" s="39">
        <v>0</v>
      </c>
      <c r="W52" s="36" t="s">
        <v>24</v>
      </c>
      <c r="X52" s="55"/>
      <c r="Y52" s="21" t="s">
        <v>29</v>
      </c>
      <c r="AA52"/>
      <c r="AB52"/>
    </row>
    <row r="53" spans="1:28" s="12" customFormat="1" x14ac:dyDescent="0.25">
      <c r="A53" s="30">
        <v>45733</v>
      </c>
      <c r="B53" s="22">
        <v>45740</v>
      </c>
      <c r="C53" s="24" t="s">
        <v>36</v>
      </c>
      <c r="D53" s="23" t="s">
        <v>25</v>
      </c>
      <c r="E53" s="64" t="s">
        <v>193</v>
      </c>
      <c r="F53" s="65" t="s">
        <v>67</v>
      </c>
      <c r="G53" s="65" t="s">
        <v>194</v>
      </c>
      <c r="H53" s="14" t="s">
        <v>38</v>
      </c>
      <c r="I53" s="31" t="s">
        <v>39</v>
      </c>
      <c r="J53" s="14" t="s">
        <v>24</v>
      </c>
      <c r="K53" s="25" t="s">
        <v>28</v>
      </c>
      <c r="L53" s="16">
        <v>45736</v>
      </c>
      <c r="M53" s="14" t="s">
        <v>24</v>
      </c>
      <c r="N53" s="17">
        <v>84</v>
      </c>
      <c r="O53" s="29">
        <v>700</v>
      </c>
      <c r="P53" s="35">
        <v>993.81</v>
      </c>
      <c r="Q53" s="18">
        <v>0</v>
      </c>
      <c r="R53" s="18">
        <v>0</v>
      </c>
      <c r="S53" s="18">
        <f t="shared" si="1"/>
        <v>0</v>
      </c>
      <c r="T53" s="20" t="s">
        <v>24</v>
      </c>
      <c r="U53" s="20" t="s">
        <v>24</v>
      </c>
      <c r="V53" s="39">
        <v>0</v>
      </c>
      <c r="W53" s="36" t="s">
        <v>24</v>
      </c>
      <c r="X53" s="55"/>
      <c r="Y53" s="21"/>
      <c r="AA53"/>
      <c r="AB53"/>
    </row>
    <row r="54" spans="1:28" s="12" customFormat="1" x14ac:dyDescent="0.25">
      <c r="A54" s="38">
        <v>45735</v>
      </c>
      <c r="B54" s="22">
        <v>45742</v>
      </c>
      <c r="C54" s="24" t="s">
        <v>36</v>
      </c>
      <c r="D54" s="23" t="s">
        <v>25</v>
      </c>
      <c r="E54" s="62" t="s">
        <v>128</v>
      </c>
      <c r="F54" s="63" t="s">
        <v>129</v>
      </c>
      <c r="G54" s="63" t="s">
        <v>195</v>
      </c>
      <c r="H54" s="14" t="s">
        <v>31</v>
      </c>
      <c r="I54" s="24" t="s">
        <v>39</v>
      </c>
      <c r="J54" s="14" t="s">
        <v>24</v>
      </c>
      <c r="K54" s="25" t="s">
        <v>28</v>
      </c>
      <c r="L54" s="16">
        <v>45738</v>
      </c>
      <c r="M54" s="14" t="s">
        <v>24</v>
      </c>
      <c r="N54" s="17">
        <v>58</v>
      </c>
      <c r="O54" s="29">
        <v>844.71</v>
      </c>
      <c r="P54" s="35">
        <v>993.81</v>
      </c>
      <c r="Q54" s="35">
        <v>34800</v>
      </c>
      <c r="R54" s="18">
        <v>0</v>
      </c>
      <c r="S54" s="18">
        <f t="shared" si="1"/>
        <v>34800</v>
      </c>
      <c r="T54" s="20" t="s">
        <v>24</v>
      </c>
      <c r="U54" s="20" t="s">
        <v>24</v>
      </c>
      <c r="V54" s="39">
        <v>0</v>
      </c>
      <c r="W54" s="36" t="s">
        <v>24</v>
      </c>
      <c r="X54" s="55"/>
      <c r="Y54" s="21" t="s">
        <v>29</v>
      </c>
      <c r="AA54"/>
      <c r="AB54"/>
    </row>
    <row r="55" spans="1:28" s="12" customFormat="1" x14ac:dyDescent="0.25">
      <c r="A55" s="38">
        <v>45737</v>
      </c>
      <c r="B55" s="22" t="s">
        <v>24</v>
      </c>
      <c r="C55" s="15" t="s">
        <v>59</v>
      </c>
      <c r="D55" s="15" t="s">
        <v>25</v>
      </c>
      <c r="E55" s="64" t="s">
        <v>196</v>
      </c>
      <c r="F55" s="65" t="s">
        <v>73</v>
      </c>
      <c r="G55" s="65" t="s">
        <v>197</v>
      </c>
      <c r="H55" s="14" t="s">
        <v>43</v>
      </c>
      <c r="I55" s="15" t="s">
        <v>44</v>
      </c>
      <c r="J55" s="14" t="s">
        <v>24</v>
      </c>
      <c r="K55" s="25" t="s">
        <v>42</v>
      </c>
      <c r="L55" s="16">
        <v>45740</v>
      </c>
      <c r="M55" s="14" t="s">
        <v>24</v>
      </c>
      <c r="N55" s="17">
        <v>0</v>
      </c>
      <c r="O55" s="29">
        <v>0</v>
      </c>
      <c r="P55" s="29">
        <v>0</v>
      </c>
      <c r="Q55" s="18">
        <v>705.17</v>
      </c>
      <c r="R55" s="18">
        <v>0</v>
      </c>
      <c r="S55" s="18">
        <f t="shared" si="1"/>
        <v>705.17</v>
      </c>
      <c r="T55" s="20" t="s">
        <v>24</v>
      </c>
      <c r="U55" s="20" t="s">
        <v>24</v>
      </c>
      <c r="V55" s="39">
        <v>0</v>
      </c>
      <c r="W55" s="36">
        <v>45747</v>
      </c>
      <c r="X55" s="55"/>
      <c r="Y55" s="21" t="s">
        <v>29</v>
      </c>
      <c r="AA55"/>
      <c r="AB55"/>
    </row>
    <row r="56" spans="1:28" s="12" customFormat="1" x14ac:dyDescent="0.25">
      <c r="A56" s="38">
        <v>45738</v>
      </c>
      <c r="B56" s="13" t="s">
        <v>24</v>
      </c>
      <c r="C56" s="15" t="s">
        <v>59</v>
      </c>
      <c r="D56" s="23" t="s">
        <v>25</v>
      </c>
      <c r="E56" s="62" t="s">
        <v>198</v>
      </c>
      <c r="F56" s="63" t="s">
        <v>76</v>
      </c>
      <c r="G56" s="63" t="s">
        <v>199</v>
      </c>
      <c r="H56" s="14" t="s">
        <v>38</v>
      </c>
      <c r="I56" s="15" t="s">
        <v>27</v>
      </c>
      <c r="J56" s="14" t="s">
        <v>24</v>
      </c>
      <c r="K56" s="25" t="s">
        <v>28</v>
      </c>
      <c r="L56" s="16">
        <v>45741</v>
      </c>
      <c r="M56" s="14" t="s">
        <v>24</v>
      </c>
      <c r="N56" s="17">
        <v>84</v>
      </c>
      <c r="O56" s="29">
        <v>0</v>
      </c>
      <c r="P56" s="29">
        <v>286.2</v>
      </c>
      <c r="Q56" s="18">
        <v>0</v>
      </c>
      <c r="R56" s="18">
        <v>0</v>
      </c>
      <c r="S56" s="39">
        <f t="shared" si="1"/>
        <v>0</v>
      </c>
      <c r="T56" s="20" t="s">
        <v>24</v>
      </c>
      <c r="U56" s="20" t="s">
        <v>24</v>
      </c>
      <c r="V56" s="39">
        <v>0</v>
      </c>
      <c r="W56" s="36" t="s">
        <v>24</v>
      </c>
      <c r="X56" s="55"/>
      <c r="Y56" s="21" t="s">
        <v>29</v>
      </c>
      <c r="AA56"/>
      <c r="AB56"/>
    </row>
    <row r="57" spans="1:28" s="12" customFormat="1" x14ac:dyDescent="0.25">
      <c r="A57" s="38">
        <v>45740</v>
      </c>
      <c r="B57" s="13" t="s">
        <v>24</v>
      </c>
      <c r="C57" s="15" t="s">
        <v>59</v>
      </c>
      <c r="D57" s="23" t="s">
        <v>25</v>
      </c>
      <c r="E57" s="64" t="s">
        <v>122</v>
      </c>
      <c r="F57" s="65" t="s">
        <v>123</v>
      </c>
      <c r="G57" s="65" t="s">
        <v>200</v>
      </c>
      <c r="H57" s="14" t="s">
        <v>31</v>
      </c>
      <c r="I57" s="15" t="s">
        <v>27</v>
      </c>
      <c r="J57" s="14" t="s">
        <v>24</v>
      </c>
      <c r="K57" s="25" t="s">
        <v>28</v>
      </c>
      <c r="L57" s="16">
        <v>45743</v>
      </c>
      <c r="M57" s="14" t="s">
        <v>24</v>
      </c>
      <c r="N57" s="17">
        <v>44</v>
      </c>
      <c r="O57" s="29">
        <v>246.88</v>
      </c>
      <c r="P57" s="29">
        <v>286.2</v>
      </c>
      <c r="Q57" s="32">
        <v>0</v>
      </c>
      <c r="R57" s="18">
        <v>0</v>
      </c>
      <c r="S57" s="39">
        <f t="shared" si="1"/>
        <v>0</v>
      </c>
      <c r="T57" s="20" t="s">
        <v>24</v>
      </c>
      <c r="U57" s="20" t="s">
        <v>24</v>
      </c>
      <c r="V57" s="39">
        <v>0</v>
      </c>
      <c r="W57" s="36" t="s">
        <v>24</v>
      </c>
      <c r="X57" s="55"/>
      <c r="Y57" s="21" t="s">
        <v>29</v>
      </c>
      <c r="AA57"/>
      <c r="AB57"/>
    </row>
    <row r="58" spans="1:28" s="12" customFormat="1" x14ac:dyDescent="0.25">
      <c r="A58" s="28">
        <v>45742</v>
      </c>
      <c r="B58" s="13" t="s">
        <v>24</v>
      </c>
      <c r="C58" s="15" t="s">
        <v>59</v>
      </c>
      <c r="D58" s="15" t="s">
        <v>25</v>
      </c>
      <c r="E58" s="62" t="s">
        <v>201</v>
      </c>
      <c r="F58" s="63" t="s">
        <v>82</v>
      </c>
      <c r="G58" s="63" t="s">
        <v>202</v>
      </c>
      <c r="H58" s="15" t="s">
        <v>47</v>
      </c>
      <c r="I58" s="15" t="s">
        <v>44</v>
      </c>
      <c r="J58" s="14" t="s">
        <v>24</v>
      </c>
      <c r="K58" s="25" t="s">
        <v>42</v>
      </c>
      <c r="L58" s="16">
        <v>45745</v>
      </c>
      <c r="M58" s="14" t="s">
        <v>24</v>
      </c>
      <c r="N58" s="17">
        <v>0</v>
      </c>
      <c r="O58" s="42">
        <v>0</v>
      </c>
      <c r="P58" s="18">
        <v>0</v>
      </c>
      <c r="Q58" s="18">
        <v>1760</v>
      </c>
      <c r="R58" s="18">
        <v>0</v>
      </c>
      <c r="S58" s="18">
        <v>0</v>
      </c>
      <c r="T58" s="20" t="s">
        <v>24</v>
      </c>
      <c r="U58" s="20" t="s">
        <v>24</v>
      </c>
      <c r="V58" s="39">
        <v>0</v>
      </c>
      <c r="W58" s="36">
        <v>45752</v>
      </c>
      <c r="X58" s="55"/>
      <c r="Y58" s="21"/>
      <c r="AA58"/>
      <c r="AB58"/>
    </row>
    <row r="59" spans="1:28" s="12" customFormat="1" x14ac:dyDescent="0.25">
      <c r="A59" s="38">
        <v>45743</v>
      </c>
      <c r="B59" s="22" t="s">
        <v>24</v>
      </c>
      <c r="C59" s="15" t="s">
        <v>59</v>
      </c>
      <c r="D59" s="23" t="s">
        <v>25</v>
      </c>
      <c r="E59" s="64" t="s">
        <v>203</v>
      </c>
      <c r="F59" s="65" t="s">
        <v>85</v>
      </c>
      <c r="G59" s="65" t="s">
        <v>204</v>
      </c>
      <c r="H59" s="14" t="s">
        <v>38</v>
      </c>
      <c r="I59" s="24" t="s">
        <v>40</v>
      </c>
      <c r="J59" s="14" t="s">
        <v>24</v>
      </c>
      <c r="K59" s="25" t="s">
        <v>28</v>
      </c>
      <c r="L59" s="16">
        <v>45746</v>
      </c>
      <c r="M59" s="14" t="s">
        <v>24</v>
      </c>
      <c r="N59" s="17">
        <v>84</v>
      </c>
      <c r="O59" s="42">
        <v>0</v>
      </c>
      <c r="P59" s="37">
        <v>29.25</v>
      </c>
      <c r="Q59" s="18">
        <v>0</v>
      </c>
      <c r="R59" s="18">
        <v>0</v>
      </c>
      <c r="S59" s="18">
        <f t="shared" ref="S59:S66" si="2">Q59-R59</f>
        <v>0</v>
      </c>
      <c r="T59" s="20" t="s">
        <v>24</v>
      </c>
      <c r="U59" s="20" t="s">
        <v>24</v>
      </c>
      <c r="V59" s="39">
        <v>0</v>
      </c>
      <c r="W59" s="36" t="s">
        <v>24</v>
      </c>
      <c r="X59" s="55"/>
      <c r="Y59" s="21"/>
      <c r="AA59"/>
      <c r="AB59"/>
    </row>
    <row r="60" spans="1:28" s="12" customFormat="1" ht="14.25" customHeight="1" x14ac:dyDescent="0.25">
      <c r="A60" s="38">
        <v>45745</v>
      </c>
      <c r="B60" s="22" t="s">
        <v>24</v>
      </c>
      <c r="C60" s="15" t="s">
        <v>59</v>
      </c>
      <c r="D60" s="23" t="s">
        <v>25</v>
      </c>
      <c r="E60" s="62" t="s">
        <v>205</v>
      </c>
      <c r="F60" s="63" t="s">
        <v>88</v>
      </c>
      <c r="G60" s="63" t="s">
        <v>206</v>
      </c>
      <c r="H60" s="14" t="s">
        <v>31</v>
      </c>
      <c r="I60" s="24" t="s">
        <v>40</v>
      </c>
      <c r="J60" s="14" t="s">
        <v>24</v>
      </c>
      <c r="K60" s="25" t="s">
        <v>28</v>
      </c>
      <c r="L60" s="16">
        <v>45748</v>
      </c>
      <c r="M60" s="14" t="s">
        <v>24</v>
      </c>
      <c r="N60" s="17">
        <v>0</v>
      </c>
      <c r="O60" s="29">
        <v>0</v>
      </c>
      <c r="P60" s="35">
        <v>29.25</v>
      </c>
      <c r="Q60" s="32">
        <v>0</v>
      </c>
      <c r="R60" s="18">
        <v>0</v>
      </c>
      <c r="S60" s="18">
        <f t="shared" si="2"/>
        <v>0</v>
      </c>
      <c r="T60" s="20" t="s">
        <v>24</v>
      </c>
      <c r="U60" s="20" t="s">
        <v>24</v>
      </c>
      <c r="V60" s="39">
        <v>0</v>
      </c>
      <c r="W60" s="36" t="s">
        <v>24</v>
      </c>
      <c r="X60" s="55"/>
      <c r="Y60" s="21" t="s">
        <v>29</v>
      </c>
    </row>
    <row r="61" spans="1:28" s="12" customFormat="1" ht="14.25" customHeight="1" x14ac:dyDescent="0.25">
      <c r="A61" s="38">
        <v>45747</v>
      </c>
      <c r="B61" s="22" t="s">
        <v>24</v>
      </c>
      <c r="C61" s="15" t="s">
        <v>59</v>
      </c>
      <c r="D61" s="23" t="s">
        <v>25</v>
      </c>
      <c r="E61" s="64" t="s">
        <v>207</v>
      </c>
      <c r="F61" s="65" t="s">
        <v>91</v>
      </c>
      <c r="G61" s="65" t="s">
        <v>208</v>
      </c>
      <c r="H61" s="14" t="s">
        <v>38</v>
      </c>
      <c r="I61" s="24" t="s">
        <v>40</v>
      </c>
      <c r="J61" s="14" t="s">
        <v>24</v>
      </c>
      <c r="K61" s="25" t="s">
        <v>28</v>
      </c>
      <c r="L61" s="16">
        <v>45750</v>
      </c>
      <c r="M61" s="14" t="s">
        <v>24</v>
      </c>
      <c r="N61" s="17">
        <v>84</v>
      </c>
      <c r="O61" s="42">
        <v>0</v>
      </c>
      <c r="P61" s="37">
        <v>135.80000000000001</v>
      </c>
      <c r="Q61" s="18">
        <v>0</v>
      </c>
      <c r="R61" s="18">
        <v>0</v>
      </c>
      <c r="S61" s="18">
        <f t="shared" si="2"/>
        <v>0</v>
      </c>
      <c r="T61" s="20" t="s">
        <v>24</v>
      </c>
      <c r="U61" s="20" t="s">
        <v>24</v>
      </c>
      <c r="V61" s="39">
        <v>0</v>
      </c>
      <c r="W61" s="36" t="s">
        <v>24</v>
      </c>
      <c r="X61" s="55"/>
      <c r="Y61" s="21"/>
    </row>
    <row r="62" spans="1:28" s="12" customFormat="1" ht="14.25" customHeight="1" x14ac:dyDescent="0.25">
      <c r="A62" s="38">
        <v>45748</v>
      </c>
      <c r="B62" s="22" t="s">
        <v>24</v>
      </c>
      <c r="C62" s="15" t="s">
        <v>59</v>
      </c>
      <c r="D62" s="23" t="s">
        <v>25</v>
      </c>
      <c r="E62" s="62" t="s">
        <v>209</v>
      </c>
      <c r="F62" s="63" t="s">
        <v>94</v>
      </c>
      <c r="G62" s="63" t="s">
        <v>210</v>
      </c>
      <c r="H62" s="14" t="s">
        <v>31</v>
      </c>
      <c r="I62" s="24" t="s">
        <v>40</v>
      </c>
      <c r="J62" s="14" t="s">
        <v>24</v>
      </c>
      <c r="K62" s="25" t="s">
        <v>28</v>
      </c>
      <c r="L62" s="16">
        <v>45751</v>
      </c>
      <c r="M62" s="14" t="s">
        <v>24</v>
      </c>
      <c r="N62" s="17">
        <v>0</v>
      </c>
      <c r="O62" s="29">
        <v>0</v>
      </c>
      <c r="P62" s="35">
        <v>135.80000000000001</v>
      </c>
      <c r="Q62" s="32">
        <v>0</v>
      </c>
      <c r="R62" s="18">
        <v>0</v>
      </c>
      <c r="S62" s="18">
        <f t="shared" si="2"/>
        <v>0</v>
      </c>
      <c r="T62" s="20" t="s">
        <v>24</v>
      </c>
      <c r="U62" s="20" t="s">
        <v>24</v>
      </c>
      <c r="V62" s="39">
        <v>0</v>
      </c>
      <c r="W62" s="36" t="s">
        <v>24</v>
      </c>
      <c r="X62" s="55"/>
      <c r="Y62" s="21" t="s">
        <v>29</v>
      </c>
    </row>
    <row r="63" spans="1:28" s="12" customFormat="1" ht="14.25" customHeight="1" x14ac:dyDescent="0.25">
      <c r="A63" s="38">
        <v>45750</v>
      </c>
      <c r="B63" s="22" t="s">
        <v>24</v>
      </c>
      <c r="C63" s="15" t="s">
        <v>59</v>
      </c>
      <c r="D63" s="23" t="s">
        <v>25</v>
      </c>
      <c r="E63" s="64" t="s">
        <v>211</v>
      </c>
      <c r="F63" s="65" t="s">
        <v>70</v>
      </c>
      <c r="G63" s="65" t="s">
        <v>212</v>
      </c>
      <c r="H63" s="14" t="s">
        <v>38</v>
      </c>
      <c r="I63" s="24" t="s">
        <v>40</v>
      </c>
      <c r="J63" s="14" t="s">
        <v>24</v>
      </c>
      <c r="K63" s="25" t="s">
        <v>28</v>
      </c>
      <c r="L63" s="16">
        <v>45753</v>
      </c>
      <c r="M63" s="14" t="s">
        <v>24</v>
      </c>
      <c r="N63" s="17">
        <v>84</v>
      </c>
      <c r="O63" s="42">
        <v>0</v>
      </c>
      <c r="P63" s="37">
        <v>75.739999999999995</v>
      </c>
      <c r="Q63" s="18">
        <v>0</v>
      </c>
      <c r="R63" s="18">
        <v>0</v>
      </c>
      <c r="S63" s="18">
        <f t="shared" si="2"/>
        <v>0</v>
      </c>
      <c r="T63" s="20" t="s">
        <v>24</v>
      </c>
      <c r="U63" s="20" t="s">
        <v>24</v>
      </c>
      <c r="V63" s="39">
        <v>0</v>
      </c>
      <c r="W63" s="36" t="s">
        <v>24</v>
      </c>
      <c r="X63" s="55"/>
      <c r="Y63" s="21"/>
    </row>
    <row r="64" spans="1:28" s="43" customFormat="1" ht="14.25" customHeight="1" x14ac:dyDescent="0.25">
      <c r="A64" s="38">
        <v>45752</v>
      </c>
      <c r="B64" s="22" t="s">
        <v>24</v>
      </c>
      <c r="C64" s="15" t="s">
        <v>59</v>
      </c>
      <c r="D64" s="23" t="s">
        <v>25</v>
      </c>
      <c r="E64" s="62" t="s">
        <v>213</v>
      </c>
      <c r="F64" s="63" t="s">
        <v>100</v>
      </c>
      <c r="G64" s="63" t="s">
        <v>214</v>
      </c>
      <c r="H64" s="14" t="s">
        <v>31</v>
      </c>
      <c r="I64" s="24" t="s">
        <v>40</v>
      </c>
      <c r="J64" s="14" t="s">
        <v>24</v>
      </c>
      <c r="K64" s="25" t="s">
        <v>28</v>
      </c>
      <c r="L64" s="16">
        <v>45755</v>
      </c>
      <c r="M64" s="14" t="s">
        <v>24</v>
      </c>
      <c r="N64" s="17">
        <v>0</v>
      </c>
      <c r="O64" s="29">
        <v>0</v>
      </c>
      <c r="P64" s="35">
        <v>75.739999999999995</v>
      </c>
      <c r="Q64" s="32">
        <v>0</v>
      </c>
      <c r="R64" s="18">
        <v>0</v>
      </c>
      <c r="S64" s="18">
        <f t="shared" si="2"/>
        <v>0</v>
      </c>
      <c r="T64" s="20" t="s">
        <v>24</v>
      </c>
      <c r="U64" s="20" t="s">
        <v>24</v>
      </c>
      <c r="V64" s="39">
        <v>0</v>
      </c>
      <c r="W64" s="36" t="s">
        <v>24</v>
      </c>
      <c r="X64" s="55"/>
      <c r="Y64" s="21" t="s">
        <v>29</v>
      </c>
    </row>
    <row r="65" spans="1:25" s="43" customFormat="1" ht="14.25" customHeight="1" x14ac:dyDescent="0.25">
      <c r="A65" s="38">
        <v>45753</v>
      </c>
      <c r="B65" s="22" t="s">
        <v>24</v>
      </c>
      <c r="C65" s="15" t="s">
        <v>59</v>
      </c>
      <c r="D65" s="23" t="s">
        <v>25</v>
      </c>
      <c r="E65" s="64" t="s">
        <v>215</v>
      </c>
      <c r="F65" s="65" t="s">
        <v>97</v>
      </c>
      <c r="G65" s="65" t="s">
        <v>216</v>
      </c>
      <c r="H65" s="14" t="s">
        <v>38</v>
      </c>
      <c r="I65" s="24" t="s">
        <v>40</v>
      </c>
      <c r="J65" s="14" t="s">
        <v>24</v>
      </c>
      <c r="K65" s="25" t="s">
        <v>28</v>
      </c>
      <c r="L65" s="16">
        <v>45756</v>
      </c>
      <c r="M65" s="14" t="s">
        <v>24</v>
      </c>
      <c r="N65" s="17">
        <v>84</v>
      </c>
      <c r="O65" s="42">
        <v>0</v>
      </c>
      <c r="P65" s="37">
        <v>111</v>
      </c>
      <c r="Q65" s="18">
        <v>0</v>
      </c>
      <c r="R65" s="18">
        <v>0</v>
      </c>
      <c r="S65" s="18">
        <f t="shared" si="2"/>
        <v>0</v>
      </c>
      <c r="T65" s="20" t="s">
        <v>24</v>
      </c>
      <c r="U65" s="20" t="s">
        <v>24</v>
      </c>
      <c r="V65" s="39">
        <v>0</v>
      </c>
      <c r="W65" s="36" t="s">
        <v>24</v>
      </c>
      <c r="X65" s="55"/>
      <c r="Y65" s="21"/>
    </row>
    <row r="66" spans="1:25" s="43" customFormat="1" ht="14.25" customHeight="1" x14ac:dyDescent="0.25">
      <c r="A66" s="38">
        <v>45755</v>
      </c>
      <c r="B66" s="22" t="s">
        <v>24</v>
      </c>
      <c r="C66" s="15" t="s">
        <v>59</v>
      </c>
      <c r="D66" s="23" t="s">
        <v>25</v>
      </c>
      <c r="E66" s="62" t="s">
        <v>217</v>
      </c>
      <c r="F66" s="63" t="s">
        <v>218</v>
      </c>
      <c r="G66" s="63" t="s">
        <v>219</v>
      </c>
      <c r="H66" s="14" t="s">
        <v>31</v>
      </c>
      <c r="I66" s="24" t="s">
        <v>40</v>
      </c>
      <c r="J66" s="14" t="s">
        <v>24</v>
      </c>
      <c r="K66" s="25" t="s">
        <v>28</v>
      </c>
      <c r="L66" s="16">
        <v>45758</v>
      </c>
      <c r="M66" s="14" t="s">
        <v>24</v>
      </c>
      <c r="N66" s="17">
        <v>0</v>
      </c>
      <c r="O66" s="29">
        <v>0</v>
      </c>
      <c r="P66" s="35">
        <v>111</v>
      </c>
      <c r="Q66" s="32">
        <v>0</v>
      </c>
      <c r="R66" s="18">
        <v>0</v>
      </c>
      <c r="S66" s="18">
        <f t="shared" si="2"/>
        <v>0</v>
      </c>
      <c r="T66" s="20" t="s">
        <v>24</v>
      </c>
      <c r="U66" s="20" t="s">
        <v>24</v>
      </c>
      <c r="V66" s="39">
        <v>0</v>
      </c>
      <c r="W66" s="36" t="s">
        <v>24</v>
      </c>
      <c r="X66" s="55"/>
      <c r="Y66" s="21" t="s">
        <v>29</v>
      </c>
    </row>
    <row r="67" spans="1:25" s="43" customFormat="1" ht="14.25" customHeight="1" x14ac:dyDescent="0.25">
      <c r="A67" s="28">
        <v>45756</v>
      </c>
      <c r="B67" s="13">
        <v>45763</v>
      </c>
      <c r="C67" s="15" t="s">
        <v>61</v>
      </c>
      <c r="D67" s="15" t="s">
        <v>25</v>
      </c>
      <c r="E67" s="64" t="s">
        <v>220</v>
      </c>
      <c r="F67" s="65" t="s">
        <v>105</v>
      </c>
      <c r="G67" s="65" t="s">
        <v>221</v>
      </c>
      <c r="H67" s="14" t="s">
        <v>38</v>
      </c>
      <c r="I67" s="15" t="s">
        <v>27</v>
      </c>
      <c r="J67" s="14" t="s">
        <v>24</v>
      </c>
      <c r="K67" s="14" t="s">
        <v>28</v>
      </c>
      <c r="L67" s="16">
        <v>45759</v>
      </c>
      <c r="M67" s="14" t="s">
        <v>24</v>
      </c>
      <c r="N67" s="17">
        <v>84</v>
      </c>
      <c r="O67" s="29">
        <v>744.55</v>
      </c>
      <c r="P67" s="35">
        <v>924.27</v>
      </c>
      <c r="Q67" s="18">
        <v>0</v>
      </c>
      <c r="R67" s="18">
        <v>0</v>
      </c>
      <c r="S67" s="18">
        <v>30750</v>
      </c>
      <c r="T67" s="20" t="s">
        <v>24</v>
      </c>
      <c r="U67" s="20" t="s">
        <v>24</v>
      </c>
      <c r="V67" s="39">
        <v>0</v>
      </c>
      <c r="W67" s="36" t="s">
        <v>24</v>
      </c>
      <c r="X67" s="55"/>
      <c r="Y67" s="21"/>
    </row>
    <row r="68" spans="1:25" s="43" customFormat="1" ht="14.25" customHeight="1" x14ac:dyDescent="0.25">
      <c r="A68" s="28">
        <v>45758</v>
      </c>
      <c r="B68" s="13">
        <v>45765</v>
      </c>
      <c r="C68" s="15" t="s">
        <v>61</v>
      </c>
      <c r="D68" s="15" t="s">
        <v>25</v>
      </c>
      <c r="E68" s="62" t="s">
        <v>114</v>
      </c>
      <c r="F68" s="63" t="s">
        <v>115</v>
      </c>
      <c r="G68" s="63" t="s">
        <v>222</v>
      </c>
      <c r="H68" s="14" t="s">
        <v>31</v>
      </c>
      <c r="I68" s="15" t="s">
        <v>27</v>
      </c>
      <c r="J68" s="14" t="s">
        <v>24</v>
      </c>
      <c r="K68" s="14" t="s">
        <v>28</v>
      </c>
      <c r="L68" s="16">
        <v>45761</v>
      </c>
      <c r="M68" s="14" t="s">
        <v>24</v>
      </c>
      <c r="N68" s="17">
        <v>58</v>
      </c>
      <c r="O68" s="29">
        <v>744.55</v>
      </c>
      <c r="P68" s="35">
        <v>924.27</v>
      </c>
      <c r="Q68" s="18">
        <v>0</v>
      </c>
      <c r="R68" s="18">
        <v>0</v>
      </c>
      <c r="S68" s="18">
        <v>30750</v>
      </c>
      <c r="T68" s="20" t="s">
        <v>24</v>
      </c>
      <c r="U68" s="20" t="s">
        <v>24</v>
      </c>
      <c r="V68" s="39">
        <v>0</v>
      </c>
      <c r="W68" s="36" t="s">
        <v>24</v>
      </c>
      <c r="X68" s="55"/>
      <c r="Y68" s="21" t="s">
        <v>29</v>
      </c>
    </row>
    <row r="69" spans="1:25" s="43" customFormat="1" ht="14.25" customHeight="1" x14ac:dyDescent="0.25">
      <c r="A69" s="30">
        <v>45760</v>
      </c>
      <c r="B69" s="13">
        <v>45767</v>
      </c>
      <c r="C69" s="15" t="s">
        <v>60</v>
      </c>
      <c r="D69" s="23" t="s">
        <v>25</v>
      </c>
      <c r="E69" s="64" t="s">
        <v>90</v>
      </c>
      <c r="F69" s="65" t="s">
        <v>91</v>
      </c>
      <c r="G69" s="65" t="s">
        <v>223</v>
      </c>
      <c r="H69" s="14" t="s">
        <v>38</v>
      </c>
      <c r="I69" s="24" t="s">
        <v>39</v>
      </c>
      <c r="J69" s="14" t="s">
        <v>24</v>
      </c>
      <c r="K69" s="25" t="s">
        <v>28</v>
      </c>
      <c r="L69" s="16">
        <v>45763</v>
      </c>
      <c r="M69" s="14" t="s">
        <v>24</v>
      </c>
      <c r="N69" s="17">
        <v>0</v>
      </c>
      <c r="O69" s="29">
        <v>0</v>
      </c>
      <c r="P69" s="37">
        <v>459.96</v>
      </c>
      <c r="Q69" s="18">
        <v>0</v>
      </c>
      <c r="R69" s="18">
        <v>0</v>
      </c>
      <c r="S69" s="18">
        <f>Q69-R69</f>
        <v>0</v>
      </c>
      <c r="T69" s="20" t="s">
        <v>24</v>
      </c>
      <c r="U69" s="20" t="s">
        <v>24</v>
      </c>
      <c r="V69" s="39">
        <v>0</v>
      </c>
      <c r="W69" s="36" t="s">
        <v>24</v>
      </c>
      <c r="X69" s="55"/>
      <c r="Y69" s="21" t="s">
        <v>29</v>
      </c>
    </row>
    <row r="70" spans="1:25" s="43" customFormat="1" ht="14.25" customHeight="1" x14ac:dyDescent="0.25">
      <c r="A70" s="30">
        <v>45761</v>
      </c>
      <c r="B70" s="13">
        <v>45768</v>
      </c>
      <c r="C70" s="15" t="s">
        <v>60</v>
      </c>
      <c r="D70" s="23" t="s">
        <v>25</v>
      </c>
      <c r="E70" s="62" t="s">
        <v>224</v>
      </c>
      <c r="F70" s="63" t="s">
        <v>112</v>
      </c>
      <c r="G70" s="63" t="s">
        <v>225</v>
      </c>
      <c r="H70" s="14" t="s">
        <v>31</v>
      </c>
      <c r="I70" s="24" t="s">
        <v>39</v>
      </c>
      <c r="J70" s="14" t="s">
        <v>24</v>
      </c>
      <c r="K70" s="25" t="s">
        <v>28</v>
      </c>
      <c r="L70" s="16">
        <v>45764</v>
      </c>
      <c r="M70" s="14" t="s">
        <v>24</v>
      </c>
      <c r="N70" s="17">
        <v>0</v>
      </c>
      <c r="O70" s="29">
        <v>0</v>
      </c>
      <c r="P70" s="37">
        <v>459.96</v>
      </c>
      <c r="Q70" s="35">
        <v>14000</v>
      </c>
      <c r="R70" s="18">
        <v>0</v>
      </c>
      <c r="S70" s="18">
        <f>Q70-R70</f>
        <v>14000</v>
      </c>
      <c r="T70" s="20" t="s">
        <v>24</v>
      </c>
      <c r="U70" s="20" t="s">
        <v>24</v>
      </c>
      <c r="V70" s="39">
        <v>0</v>
      </c>
      <c r="W70" s="36" t="s">
        <v>24</v>
      </c>
      <c r="X70" s="55"/>
      <c r="Y70" s="21" t="s">
        <v>29</v>
      </c>
    </row>
    <row r="71" spans="1:25" s="12" customFormat="1" ht="14.25" customHeight="1" x14ac:dyDescent="0.25">
      <c r="A71" s="30">
        <v>45763</v>
      </c>
      <c r="B71" s="13" t="s">
        <v>24</v>
      </c>
      <c r="C71" s="15" t="s">
        <v>60</v>
      </c>
      <c r="D71" s="23" t="s">
        <v>25</v>
      </c>
      <c r="E71" s="64" t="s">
        <v>63</v>
      </c>
      <c r="F71" s="65" t="s">
        <v>64</v>
      </c>
      <c r="G71" s="65" t="s">
        <v>226</v>
      </c>
      <c r="H71" s="31" t="s">
        <v>26</v>
      </c>
      <c r="I71" s="24" t="s">
        <v>39</v>
      </c>
      <c r="J71" s="14" t="s">
        <v>24</v>
      </c>
      <c r="K71" s="25" t="s">
        <v>28</v>
      </c>
      <c r="L71" s="16">
        <v>45766</v>
      </c>
      <c r="M71" s="14" t="s">
        <v>24</v>
      </c>
      <c r="N71" s="17">
        <v>0</v>
      </c>
      <c r="O71" s="29">
        <v>0</v>
      </c>
      <c r="P71" s="35">
        <v>53.8</v>
      </c>
      <c r="Q71" s="35">
        <v>2216.0700000000002</v>
      </c>
      <c r="R71" s="18">
        <v>0</v>
      </c>
      <c r="S71" s="39">
        <f>Q71-R71</f>
        <v>2216.0700000000002</v>
      </c>
      <c r="T71" s="20" t="s">
        <v>24</v>
      </c>
      <c r="U71" s="20" t="s">
        <v>24</v>
      </c>
      <c r="V71" s="39">
        <v>0</v>
      </c>
      <c r="W71" s="36" t="s">
        <v>24</v>
      </c>
      <c r="X71" s="55"/>
      <c r="Y71" s="21" t="s">
        <v>29</v>
      </c>
    </row>
    <row r="72" spans="1:25" s="12" customFormat="1" ht="14.25" customHeight="1" x14ac:dyDescent="0.25">
      <c r="A72" s="30">
        <v>45765</v>
      </c>
      <c r="B72" s="13" t="s">
        <v>24</v>
      </c>
      <c r="C72" s="15" t="s">
        <v>60</v>
      </c>
      <c r="D72" s="23" t="s">
        <v>25</v>
      </c>
      <c r="E72" s="62" t="s">
        <v>138</v>
      </c>
      <c r="F72" s="63" t="s">
        <v>139</v>
      </c>
      <c r="G72" s="63" t="s">
        <v>227</v>
      </c>
      <c r="H72" s="31" t="s">
        <v>26</v>
      </c>
      <c r="I72" s="24" t="s">
        <v>39</v>
      </c>
      <c r="J72" s="14" t="s">
        <v>24</v>
      </c>
      <c r="K72" s="25" t="s">
        <v>28</v>
      </c>
      <c r="L72" s="16">
        <v>45768</v>
      </c>
      <c r="M72" s="14" t="s">
        <v>24</v>
      </c>
      <c r="N72" s="17">
        <v>0</v>
      </c>
      <c r="O72" s="29">
        <v>0</v>
      </c>
      <c r="P72" s="35">
        <v>67.2</v>
      </c>
      <c r="Q72" s="35">
        <v>2768.03</v>
      </c>
      <c r="R72" s="18">
        <v>0</v>
      </c>
      <c r="S72" s="39">
        <f>Q72-R72</f>
        <v>2768.03</v>
      </c>
      <c r="T72" s="20" t="s">
        <v>24</v>
      </c>
      <c r="U72" s="20" t="s">
        <v>24</v>
      </c>
      <c r="V72" s="39">
        <v>0</v>
      </c>
      <c r="W72" s="36" t="s">
        <v>24</v>
      </c>
      <c r="X72" s="55"/>
      <c r="Y72" s="21" t="s">
        <v>29</v>
      </c>
    </row>
    <row r="73" spans="1:25" s="12" customFormat="1" ht="14.25" customHeight="1" x14ac:dyDescent="0.25">
      <c r="A73" s="28">
        <v>45766</v>
      </c>
      <c r="B73" s="13">
        <v>45773</v>
      </c>
      <c r="C73" s="15" t="s">
        <v>61</v>
      </c>
      <c r="D73" s="15" t="s">
        <v>25</v>
      </c>
      <c r="E73" s="64" t="s">
        <v>228</v>
      </c>
      <c r="F73" s="65" t="s">
        <v>143</v>
      </c>
      <c r="G73" s="65" t="s">
        <v>229</v>
      </c>
      <c r="H73" s="14" t="s">
        <v>38</v>
      </c>
      <c r="I73" s="15" t="s">
        <v>40</v>
      </c>
      <c r="J73" s="14" t="s">
        <v>24</v>
      </c>
      <c r="K73" s="25" t="s">
        <v>48</v>
      </c>
      <c r="L73" s="16">
        <v>45769</v>
      </c>
      <c r="M73" s="14" t="s">
        <v>24</v>
      </c>
      <c r="N73" s="26">
        <v>84</v>
      </c>
      <c r="O73" s="29">
        <v>731</v>
      </c>
      <c r="P73" s="35">
        <v>924.27</v>
      </c>
      <c r="Q73" s="19">
        <v>38550</v>
      </c>
      <c r="R73" s="19">
        <v>38300</v>
      </c>
      <c r="S73" s="27">
        <f t="shared" ref="S73:S122" si="3">Q73-R73</f>
        <v>250</v>
      </c>
      <c r="T73" s="20" t="s">
        <v>24</v>
      </c>
      <c r="U73" s="20" t="s">
        <v>24</v>
      </c>
      <c r="V73" s="39">
        <v>0</v>
      </c>
      <c r="W73" s="22" t="s">
        <v>24</v>
      </c>
      <c r="X73" s="55"/>
      <c r="Y73" s="21"/>
    </row>
    <row r="74" spans="1:25" s="12" customFormat="1" ht="14.25" customHeight="1" x14ac:dyDescent="0.25">
      <c r="A74" s="28">
        <v>45768</v>
      </c>
      <c r="B74" s="13">
        <v>45775</v>
      </c>
      <c r="C74" s="15" t="s">
        <v>61</v>
      </c>
      <c r="D74" s="15" t="s">
        <v>25</v>
      </c>
      <c r="E74" s="62" t="s">
        <v>131</v>
      </c>
      <c r="F74" s="63" t="s">
        <v>132</v>
      </c>
      <c r="G74" s="63" t="s">
        <v>230</v>
      </c>
      <c r="H74" s="14" t="s">
        <v>31</v>
      </c>
      <c r="I74" s="15" t="s">
        <v>40</v>
      </c>
      <c r="J74" s="14" t="s">
        <v>24</v>
      </c>
      <c r="K74" s="25" t="s">
        <v>49</v>
      </c>
      <c r="L74" s="16">
        <v>45771</v>
      </c>
      <c r="M74" s="14" t="s">
        <v>24</v>
      </c>
      <c r="N74" s="26">
        <v>58</v>
      </c>
      <c r="O74" s="29">
        <v>923.1</v>
      </c>
      <c r="P74" s="35">
        <v>924.27</v>
      </c>
      <c r="Q74" s="19">
        <v>38300</v>
      </c>
      <c r="R74" s="27">
        <v>0</v>
      </c>
      <c r="S74" s="27">
        <f t="shared" si="3"/>
        <v>38300</v>
      </c>
      <c r="T74" s="20" t="s">
        <v>24</v>
      </c>
      <c r="U74" s="20" t="s">
        <v>24</v>
      </c>
      <c r="V74" s="39">
        <v>0</v>
      </c>
      <c r="W74" s="22" t="s">
        <v>24</v>
      </c>
      <c r="X74" s="55"/>
      <c r="Y74" s="21" t="s">
        <v>29</v>
      </c>
    </row>
    <row r="75" spans="1:25" s="12" customFormat="1" ht="14.25" customHeight="1" x14ac:dyDescent="0.25">
      <c r="A75" s="16">
        <v>45769</v>
      </c>
      <c r="B75" s="13">
        <v>45776</v>
      </c>
      <c r="C75" s="15" t="s">
        <v>60</v>
      </c>
      <c r="D75" s="23" t="s">
        <v>25</v>
      </c>
      <c r="E75" s="64" t="s">
        <v>231</v>
      </c>
      <c r="F75" s="65" t="s">
        <v>123</v>
      </c>
      <c r="G75" s="65" t="s">
        <v>232</v>
      </c>
      <c r="H75" s="14" t="s">
        <v>38</v>
      </c>
      <c r="I75" s="24" t="s">
        <v>39</v>
      </c>
      <c r="J75" s="14" t="s">
        <v>24</v>
      </c>
      <c r="K75" s="25" t="s">
        <v>48</v>
      </c>
      <c r="L75" s="16">
        <v>45772</v>
      </c>
      <c r="M75" s="14" t="s">
        <v>24</v>
      </c>
      <c r="N75" s="26">
        <v>84</v>
      </c>
      <c r="O75" s="29">
        <v>330</v>
      </c>
      <c r="P75" s="35">
        <v>459.96</v>
      </c>
      <c r="Q75" s="35">
        <v>16487.64</v>
      </c>
      <c r="R75" s="35">
        <v>15816.67</v>
      </c>
      <c r="S75" s="27">
        <f t="shared" si="3"/>
        <v>670.96999999999935</v>
      </c>
      <c r="T75" s="20" t="s">
        <v>24</v>
      </c>
      <c r="U75" s="20" t="s">
        <v>24</v>
      </c>
      <c r="V75" s="39">
        <v>0</v>
      </c>
      <c r="W75" s="22" t="s">
        <v>24</v>
      </c>
      <c r="X75" s="55"/>
      <c r="Y75" s="21" t="s">
        <v>29</v>
      </c>
    </row>
    <row r="76" spans="1:25" s="12" customFormat="1" ht="14.25" customHeight="1" x14ac:dyDescent="0.25">
      <c r="A76" s="16">
        <v>45771</v>
      </c>
      <c r="B76" s="13">
        <v>45778</v>
      </c>
      <c r="C76" s="15" t="s">
        <v>60</v>
      </c>
      <c r="D76" s="23" t="s">
        <v>25</v>
      </c>
      <c r="E76" s="62" t="s">
        <v>233</v>
      </c>
      <c r="F76" s="63" t="s">
        <v>126</v>
      </c>
      <c r="G76" s="63" t="s">
        <v>234</v>
      </c>
      <c r="H76" s="14" t="s">
        <v>31</v>
      </c>
      <c r="I76" s="24" t="s">
        <v>39</v>
      </c>
      <c r="J76" s="14" t="s">
        <v>24</v>
      </c>
      <c r="K76" s="25" t="s">
        <v>50</v>
      </c>
      <c r="L76" s="16">
        <v>45774</v>
      </c>
      <c r="M76" s="14" t="s">
        <v>24</v>
      </c>
      <c r="N76" s="26">
        <v>55</v>
      </c>
      <c r="O76" s="29">
        <v>411.17</v>
      </c>
      <c r="P76" s="35">
        <v>459.96</v>
      </c>
      <c r="Q76" s="35">
        <v>15816.67</v>
      </c>
      <c r="R76" s="27">
        <v>0</v>
      </c>
      <c r="S76" s="27">
        <f t="shared" si="3"/>
        <v>15816.67</v>
      </c>
      <c r="T76" s="20" t="s">
        <v>24</v>
      </c>
      <c r="U76" s="20" t="s">
        <v>24</v>
      </c>
      <c r="V76" s="39">
        <v>0</v>
      </c>
      <c r="W76" s="22">
        <v>45781</v>
      </c>
      <c r="X76" s="55"/>
      <c r="Y76" s="21" t="s">
        <v>29</v>
      </c>
    </row>
    <row r="77" spans="1:25" s="12" customFormat="1" ht="14.25" customHeight="1" x14ac:dyDescent="0.25">
      <c r="A77" s="28">
        <v>45773</v>
      </c>
      <c r="B77" s="13" t="s">
        <v>24</v>
      </c>
      <c r="C77" s="15" t="s">
        <v>60</v>
      </c>
      <c r="D77" s="15" t="s">
        <v>25</v>
      </c>
      <c r="E77" s="64" t="s">
        <v>235</v>
      </c>
      <c r="F77" s="65" t="s">
        <v>218</v>
      </c>
      <c r="G77" s="65" t="s">
        <v>236</v>
      </c>
      <c r="H77" s="14" t="s">
        <v>38</v>
      </c>
      <c r="I77" s="15" t="s">
        <v>39</v>
      </c>
      <c r="J77" s="14" t="s">
        <v>24</v>
      </c>
      <c r="K77" s="14" t="s">
        <v>32</v>
      </c>
      <c r="L77" s="16">
        <v>45776</v>
      </c>
      <c r="M77" s="14" t="s">
        <v>24</v>
      </c>
      <c r="N77" s="17">
        <v>84</v>
      </c>
      <c r="O77" s="29">
        <v>272</v>
      </c>
      <c r="P77" s="37">
        <v>397.71</v>
      </c>
      <c r="Q77" s="59">
        <v>13584.1</v>
      </c>
      <c r="R77" s="18">
        <v>13300</v>
      </c>
      <c r="S77" s="18">
        <f t="shared" si="3"/>
        <v>284.10000000000036</v>
      </c>
      <c r="T77" s="20" t="s">
        <v>24</v>
      </c>
      <c r="U77" s="20" t="s">
        <v>24</v>
      </c>
      <c r="V77" s="39">
        <v>0</v>
      </c>
      <c r="W77" s="36" t="s">
        <v>24</v>
      </c>
      <c r="X77" s="55"/>
      <c r="Y77" s="21" t="s">
        <v>29</v>
      </c>
    </row>
    <row r="78" spans="1:25" s="12" customFormat="1" ht="14.25" customHeight="1" x14ac:dyDescent="0.25">
      <c r="A78" s="28">
        <v>45774</v>
      </c>
      <c r="B78" s="13" t="s">
        <v>24</v>
      </c>
      <c r="C78" s="15" t="s">
        <v>60</v>
      </c>
      <c r="D78" s="15" t="s">
        <v>25</v>
      </c>
      <c r="E78" s="62" t="s">
        <v>237</v>
      </c>
      <c r="F78" s="63" t="s">
        <v>132</v>
      </c>
      <c r="G78" s="63" t="s">
        <v>238</v>
      </c>
      <c r="H78" s="14" t="s">
        <v>31</v>
      </c>
      <c r="I78" s="15" t="s">
        <v>39</v>
      </c>
      <c r="J78" s="14" t="s">
        <v>24</v>
      </c>
      <c r="K78" s="14" t="s">
        <v>32</v>
      </c>
      <c r="L78" s="16">
        <v>45777</v>
      </c>
      <c r="M78" s="14" t="s">
        <v>24</v>
      </c>
      <c r="N78" s="26">
        <v>42</v>
      </c>
      <c r="O78" s="29">
        <v>411.3</v>
      </c>
      <c r="P78" s="35">
        <v>397.71</v>
      </c>
      <c r="Q78" s="60">
        <v>13300</v>
      </c>
      <c r="R78" s="27">
        <v>0</v>
      </c>
      <c r="S78" s="27">
        <f t="shared" si="3"/>
        <v>13300</v>
      </c>
      <c r="T78" s="20" t="s">
        <v>24</v>
      </c>
      <c r="U78" s="20" t="s">
        <v>24</v>
      </c>
      <c r="V78" s="39">
        <v>0</v>
      </c>
      <c r="W78" s="36" t="s">
        <v>24</v>
      </c>
      <c r="X78" s="55"/>
      <c r="Y78" s="21" t="s">
        <v>29</v>
      </c>
    </row>
    <row r="79" spans="1:25" s="12" customFormat="1" ht="14.25" customHeight="1" x14ac:dyDescent="0.25">
      <c r="A79" s="30">
        <v>45776</v>
      </c>
      <c r="B79" s="13">
        <v>45783</v>
      </c>
      <c r="C79" s="31" t="s">
        <v>33</v>
      </c>
      <c r="D79" s="23" t="s">
        <v>25</v>
      </c>
      <c r="E79" s="64" t="s">
        <v>239</v>
      </c>
      <c r="F79" s="65" t="s">
        <v>240</v>
      </c>
      <c r="G79" s="65" t="s">
        <v>241</v>
      </c>
      <c r="H79" s="14" t="s">
        <v>31</v>
      </c>
      <c r="I79" s="31" t="s">
        <v>39</v>
      </c>
      <c r="J79" s="14" t="s">
        <v>24</v>
      </c>
      <c r="K79" s="25" t="s">
        <v>28</v>
      </c>
      <c r="L79" s="16">
        <v>45779</v>
      </c>
      <c r="M79" s="14" t="s">
        <v>24</v>
      </c>
      <c r="N79" s="26">
        <v>60</v>
      </c>
      <c r="O79" s="29">
        <v>248.72</v>
      </c>
      <c r="P79" s="35">
        <v>333.7</v>
      </c>
      <c r="Q79" s="35">
        <v>10500</v>
      </c>
      <c r="R79" s="27">
        <v>0</v>
      </c>
      <c r="S79" s="40">
        <f t="shared" si="3"/>
        <v>10500</v>
      </c>
      <c r="T79" s="20" t="s">
        <v>24</v>
      </c>
      <c r="U79" s="20" t="s">
        <v>24</v>
      </c>
      <c r="V79" s="39">
        <v>0</v>
      </c>
      <c r="W79" s="36" t="s">
        <v>24</v>
      </c>
      <c r="X79" s="55"/>
      <c r="Y79" s="21" t="s">
        <v>29</v>
      </c>
    </row>
    <row r="80" spans="1:25" s="12" customFormat="1" ht="14.25" customHeight="1" x14ac:dyDescent="0.25">
      <c r="A80" s="30">
        <v>45778</v>
      </c>
      <c r="B80" s="13" t="s">
        <v>24</v>
      </c>
      <c r="C80" s="15" t="s">
        <v>61</v>
      </c>
      <c r="D80" s="23" t="s">
        <v>25</v>
      </c>
      <c r="E80" s="62" t="s">
        <v>242</v>
      </c>
      <c r="F80" s="63" t="s">
        <v>136</v>
      </c>
      <c r="G80" s="63" t="s">
        <v>243</v>
      </c>
      <c r="H80" s="14" t="s">
        <v>38</v>
      </c>
      <c r="I80" s="31" t="s">
        <v>27</v>
      </c>
      <c r="J80" s="14" t="s">
        <v>24</v>
      </c>
      <c r="K80" s="14" t="s">
        <v>28</v>
      </c>
      <c r="L80" s="16">
        <v>45781</v>
      </c>
      <c r="M80" s="14" t="s">
        <v>24</v>
      </c>
      <c r="N80" s="17">
        <v>84</v>
      </c>
      <c r="O80" s="29">
        <v>564.67999999999995</v>
      </c>
      <c r="P80" s="35">
        <v>613.77</v>
      </c>
      <c r="Q80" s="18">
        <v>0</v>
      </c>
      <c r="R80" s="18">
        <v>0</v>
      </c>
      <c r="S80" s="39">
        <f t="shared" si="3"/>
        <v>0</v>
      </c>
      <c r="T80" s="20" t="s">
        <v>24</v>
      </c>
      <c r="U80" s="20" t="s">
        <v>24</v>
      </c>
      <c r="V80" s="39">
        <v>0</v>
      </c>
      <c r="W80" s="36" t="s">
        <v>24</v>
      </c>
      <c r="X80" s="55"/>
      <c r="Y80" s="21" t="s">
        <v>29</v>
      </c>
    </row>
    <row r="81" spans="1:25" s="12" customFormat="1" ht="14.25" customHeight="1" x14ac:dyDescent="0.25">
      <c r="A81" s="30">
        <v>45779</v>
      </c>
      <c r="B81" s="13" t="s">
        <v>24</v>
      </c>
      <c r="C81" s="15" t="s">
        <v>61</v>
      </c>
      <c r="D81" s="23" t="s">
        <v>25</v>
      </c>
      <c r="E81" s="64" t="s">
        <v>244</v>
      </c>
      <c r="F81" s="65" t="s">
        <v>139</v>
      </c>
      <c r="G81" s="65" t="s">
        <v>245</v>
      </c>
      <c r="H81" s="14" t="s">
        <v>31</v>
      </c>
      <c r="I81" s="31" t="s">
        <v>27</v>
      </c>
      <c r="J81" s="14" t="s">
        <v>24</v>
      </c>
      <c r="K81" s="14" t="s">
        <v>28</v>
      </c>
      <c r="L81" s="16">
        <v>45782</v>
      </c>
      <c r="M81" s="14" t="s">
        <v>24</v>
      </c>
      <c r="N81" s="17">
        <v>27</v>
      </c>
      <c r="O81" s="29">
        <v>564.67999999999995</v>
      </c>
      <c r="P81" s="35">
        <v>613.77</v>
      </c>
      <c r="Q81" s="18">
        <v>13095.46</v>
      </c>
      <c r="R81" s="18">
        <v>0</v>
      </c>
      <c r="S81" s="39">
        <f t="shared" si="3"/>
        <v>13095.46</v>
      </c>
      <c r="T81" s="20" t="s">
        <v>24</v>
      </c>
      <c r="U81" s="20" t="s">
        <v>24</v>
      </c>
      <c r="V81" s="39">
        <v>0</v>
      </c>
      <c r="W81" s="36" t="s">
        <v>24</v>
      </c>
      <c r="X81" s="55"/>
      <c r="Y81" s="21" t="s">
        <v>29</v>
      </c>
    </row>
    <row r="82" spans="1:25" s="12" customFormat="1" ht="14.25" customHeight="1" x14ac:dyDescent="0.25">
      <c r="A82" s="30">
        <v>45781</v>
      </c>
      <c r="B82" s="13" t="s">
        <v>24</v>
      </c>
      <c r="C82" s="15" t="s">
        <v>61</v>
      </c>
      <c r="D82" s="23" t="s">
        <v>25</v>
      </c>
      <c r="E82" s="62" t="s">
        <v>63</v>
      </c>
      <c r="F82" s="63" t="s">
        <v>64</v>
      </c>
      <c r="G82" s="63" t="s">
        <v>246</v>
      </c>
      <c r="H82" s="31" t="s">
        <v>26</v>
      </c>
      <c r="I82" s="31" t="s">
        <v>27</v>
      </c>
      <c r="J82" s="14" t="s">
        <v>24</v>
      </c>
      <c r="K82" s="14" t="s">
        <v>28</v>
      </c>
      <c r="L82" s="16">
        <v>45784</v>
      </c>
      <c r="M82" s="14" t="s">
        <v>24</v>
      </c>
      <c r="N82" s="17">
        <v>84</v>
      </c>
      <c r="O82" s="29">
        <v>0</v>
      </c>
      <c r="P82" s="35">
        <v>371.6</v>
      </c>
      <c r="Q82" s="35">
        <v>0</v>
      </c>
      <c r="R82" s="18">
        <v>0</v>
      </c>
      <c r="S82" s="39">
        <f t="shared" si="3"/>
        <v>0</v>
      </c>
      <c r="T82" s="20" t="s">
        <v>24</v>
      </c>
      <c r="U82" s="20" t="s">
        <v>24</v>
      </c>
      <c r="V82" s="39">
        <v>0</v>
      </c>
      <c r="W82" s="36" t="s">
        <v>24</v>
      </c>
      <c r="X82" s="55"/>
      <c r="Y82" s="21" t="s">
        <v>29</v>
      </c>
    </row>
    <row r="83" spans="1:25" s="12" customFormat="1" ht="14.25" customHeight="1" x14ac:dyDescent="0.25">
      <c r="A83" s="38">
        <v>45783</v>
      </c>
      <c r="B83" s="13" t="s">
        <v>24</v>
      </c>
      <c r="C83" s="31" t="s">
        <v>33</v>
      </c>
      <c r="D83" s="23" t="s">
        <v>25</v>
      </c>
      <c r="E83" s="64" t="s">
        <v>66</v>
      </c>
      <c r="F83" s="65" t="s">
        <v>67</v>
      </c>
      <c r="G83" s="65" t="s">
        <v>247</v>
      </c>
      <c r="H83" s="14" t="s">
        <v>38</v>
      </c>
      <c r="I83" s="31" t="s">
        <v>27</v>
      </c>
      <c r="J83" s="14" t="s">
        <v>24</v>
      </c>
      <c r="K83" s="14" t="s">
        <v>32</v>
      </c>
      <c r="L83" s="16">
        <v>45786</v>
      </c>
      <c r="M83" s="14" t="s">
        <v>24</v>
      </c>
      <c r="N83" s="17">
        <v>84</v>
      </c>
      <c r="O83" s="29">
        <v>101.1</v>
      </c>
      <c r="P83" s="37">
        <v>103.27</v>
      </c>
      <c r="Q83" s="18">
        <v>0</v>
      </c>
      <c r="R83" s="18">
        <v>0</v>
      </c>
      <c r="S83" s="39">
        <f t="shared" si="3"/>
        <v>0</v>
      </c>
      <c r="T83" s="20" t="s">
        <v>24</v>
      </c>
      <c r="U83" s="20" t="s">
        <v>24</v>
      </c>
      <c r="V83" s="39">
        <v>0</v>
      </c>
      <c r="W83" s="36" t="s">
        <v>24</v>
      </c>
      <c r="X83" s="55"/>
      <c r="Y83" s="21"/>
    </row>
    <row r="84" spans="1:25" s="12" customFormat="1" ht="14.25" customHeight="1" x14ac:dyDescent="0.25">
      <c r="A84" s="38">
        <v>45784</v>
      </c>
      <c r="B84" s="13" t="s">
        <v>24</v>
      </c>
      <c r="C84" s="31" t="s">
        <v>33</v>
      </c>
      <c r="D84" s="23" t="s">
        <v>25</v>
      </c>
      <c r="E84" s="62" t="s">
        <v>248</v>
      </c>
      <c r="F84" s="63" t="s">
        <v>249</v>
      </c>
      <c r="G84" s="63" t="s">
        <v>250</v>
      </c>
      <c r="H84" s="14" t="s">
        <v>31</v>
      </c>
      <c r="I84" s="31" t="s">
        <v>27</v>
      </c>
      <c r="J84" s="14" t="s">
        <v>24</v>
      </c>
      <c r="K84" s="14" t="s">
        <v>32</v>
      </c>
      <c r="L84" s="16">
        <v>45787</v>
      </c>
      <c r="M84" s="14" t="s">
        <v>24</v>
      </c>
      <c r="N84" s="17">
        <v>55</v>
      </c>
      <c r="O84" s="29">
        <v>101.1</v>
      </c>
      <c r="P84" s="37">
        <v>103.27</v>
      </c>
      <c r="Q84" s="35">
        <v>4102.8100000000004</v>
      </c>
      <c r="R84" s="18">
        <v>0</v>
      </c>
      <c r="S84" s="39">
        <f t="shared" si="3"/>
        <v>4102.8100000000004</v>
      </c>
      <c r="T84" s="20" t="s">
        <v>24</v>
      </c>
      <c r="U84" s="20" t="s">
        <v>24</v>
      </c>
      <c r="V84" s="39">
        <v>0</v>
      </c>
      <c r="W84" s="36" t="s">
        <v>24</v>
      </c>
      <c r="X84" s="55"/>
      <c r="Y84" s="21" t="s">
        <v>29</v>
      </c>
    </row>
    <row r="85" spans="1:25" s="12" customFormat="1" ht="14.25" customHeight="1" x14ac:dyDescent="0.25">
      <c r="A85" s="38">
        <v>45786</v>
      </c>
      <c r="B85" s="13" t="s">
        <v>24</v>
      </c>
      <c r="C85" s="31" t="s">
        <v>33</v>
      </c>
      <c r="D85" s="23" t="s">
        <v>25</v>
      </c>
      <c r="E85" s="64" t="s">
        <v>72</v>
      </c>
      <c r="F85" s="65" t="s">
        <v>73</v>
      </c>
      <c r="G85" s="65" t="s">
        <v>251</v>
      </c>
      <c r="H85" s="14" t="s">
        <v>38</v>
      </c>
      <c r="I85" s="31" t="s">
        <v>27</v>
      </c>
      <c r="J85" s="14" t="s">
        <v>24</v>
      </c>
      <c r="K85" s="14" t="s">
        <v>32</v>
      </c>
      <c r="L85" s="16">
        <v>45789</v>
      </c>
      <c r="M85" s="14" t="s">
        <v>24</v>
      </c>
      <c r="N85" s="17">
        <v>84</v>
      </c>
      <c r="O85" s="29">
        <v>546.48</v>
      </c>
      <c r="P85" s="37">
        <v>558.20000000000005</v>
      </c>
      <c r="Q85" s="18">
        <v>0</v>
      </c>
      <c r="R85" s="18">
        <v>0</v>
      </c>
      <c r="S85" s="39">
        <f t="shared" si="3"/>
        <v>0</v>
      </c>
      <c r="T85" s="20" t="s">
        <v>24</v>
      </c>
      <c r="U85" s="20" t="s">
        <v>24</v>
      </c>
      <c r="V85" s="39">
        <v>0</v>
      </c>
      <c r="W85" s="36" t="s">
        <v>24</v>
      </c>
      <c r="X85" s="55"/>
      <c r="Y85" s="21"/>
    </row>
    <row r="86" spans="1:25" s="12" customFormat="1" ht="14.25" customHeight="1" x14ac:dyDescent="0.25">
      <c r="A86" s="38">
        <v>45788</v>
      </c>
      <c r="B86" s="13" t="s">
        <v>24</v>
      </c>
      <c r="C86" s="31" t="s">
        <v>33</v>
      </c>
      <c r="D86" s="23" t="s">
        <v>25</v>
      </c>
      <c r="E86" s="62" t="s">
        <v>75</v>
      </c>
      <c r="F86" s="63" t="s">
        <v>76</v>
      </c>
      <c r="G86" s="63" t="s">
        <v>252</v>
      </c>
      <c r="H86" s="14" t="s">
        <v>31</v>
      </c>
      <c r="I86" s="31" t="s">
        <v>27</v>
      </c>
      <c r="J86" s="14" t="s">
        <v>24</v>
      </c>
      <c r="K86" s="14" t="s">
        <v>32</v>
      </c>
      <c r="L86" s="16">
        <v>45791</v>
      </c>
      <c r="M86" s="14" t="s">
        <v>24</v>
      </c>
      <c r="N86" s="17">
        <v>55</v>
      </c>
      <c r="O86" s="29">
        <v>546.48</v>
      </c>
      <c r="P86" s="37">
        <v>558.20000000000005</v>
      </c>
      <c r="Q86" s="35">
        <v>22176.71</v>
      </c>
      <c r="R86" s="18">
        <v>0</v>
      </c>
      <c r="S86" s="39">
        <f t="shared" si="3"/>
        <v>22176.71</v>
      </c>
      <c r="T86" s="20" t="s">
        <v>24</v>
      </c>
      <c r="U86" s="20" t="s">
        <v>24</v>
      </c>
      <c r="V86" s="39">
        <v>0</v>
      </c>
      <c r="W86" s="36" t="s">
        <v>24</v>
      </c>
      <c r="X86" s="55"/>
      <c r="Y86" s="21" t="s">
        <v>29</v>
      </c>
    </row>
    <row r="87" spans="1:25" s="12" customFormat="1" ht="14.25" customHeight="1" x14ac:dyDescent="0.25">
      <c r="A87" s="38">
        <v>45789</v>
      </c>
      <c r="B87" s="13">
        <v>45796</v>
      </c>
      <c r="C87" s="15" t="s">
        <v>60</v>
      </c>
      <c r="D87" s="23" t="s">
        <v>25</v>
      </c>
      <c r="E87" s="64" t="s">
        <v>78</v>
      </c>
      <c r="F87" s="65" t="s">
        <v>79</v>
      </c>
      <c r="G87" s="65" t="s">
        <v>253</v>
      </c>
      <c r="H87" s="14" t="s">
        <v>38</v>
      </c>
      <c r="I87" s="31" t="s">
        <v>40</v>
      </c>
      <c r="J87" s="14" t="s">
        <v>24</v>
      </c>
      <c r="K87" s="25" t="s">
        <v>28</v>
      </c>
      <c r="L87" s="16">
        <v>45792</v>
      </c>
      <c r="M87" s="14" t="s">
        <v>24</v>
      </c>
      <c r="N87" s="26">
        <v>84</v>
      </c>
      <c r="O87" s="29">
        <v>435</v>
      </c>
      <c r="P87" s="44">
        <v>757.47</v>
      </c>
      <c r="Q87" s="18">
        <v>0</v>
      </c>
      <c r="R87" s="27">
        <v>0</v>
      </c>
      <c r="S87" s="27">
        <f t="shared" si="3"/>
        <v>0</v>
      </c>
      <c r="T87" s="20" t="s">
        <v>24</v>
      </c>
      <c r="U87" s="20" t="s">
        <v>24</v>
      </c>
      <c r="V87" s="39">
        <v>0</v>
      </c>
      <c r="W87" s="22" t="s">
        <v>24</v>
      </c>
      <c r="X87" s="55"/>
      <c r="Y87" s="21"/>
    </row>
    <row r="88" spans="1:25" s="12" customFormat="1" ht="14.25" customHeight="1" x14ac:dyDescent="0.25">
      <c r="A88" s="38">
        <v>45791</v>
      </c>
      <c r="B88" s="13">
        <v>45798</v>
      </c>
      <c r="C88" s="15" t="s">
        <v>60</v>
      </c>
      <c r="D88" s="23" t="s">
        <v>25</v>
      </c>
      <c r="E88" s="62" t="s">
        <v>81</v>
      </c>
      <c r="F88" s="63" t="s">
        <v>82</v>
      </c>
      <c r="G88" s="63" t="s">
        <v>254</v>
      </c>
      <c r="H88" s="14" t="s">
        <v>31</v>
      </c>
      <c r="I88" s="31" t="s">
        <v>40</v>
      </c>
      <c r="J88" s="14" t="s">
        <v>24</v>
      </c>
      <c r="K88" s="25" t="s">
        <v>28</v>
      </c>
      <c r="L88" s="16">
        <v>45794</v>
      </c>
      <c r="M88" s="14" t="s">
        <v>24</v>
      </c>
      <c r="N88" s="26">
        <v>38</v>
      </c>
      <c r="O88" s="29">
        <v>756.32</v>
      </c>
      <c r="P88" s="44">
        <v>757.47</v>
      </c>
      <c r="Q88" s="18">
        <v>0</v>
      </c>
      <c r="R88" s="27">
        <v>0</v>
      </c>
      <c r="S88" s="27">
        <f t="shared" si="3"/>
        <v>0</v>
      </c>
      <c r="T88" s="20" t="s">
        <v>24</v>
      </c>
      <c r="U88" s="20" t="s">
        <v>24</v>
      </c>
      <c r="V88" s="39">
        <v>0</v>
      </c>
      <c r="W88" s="22" t="s">
        <v>24</v>
      </c>
      <c r="X88" s="55"/>
      <c r="Y88" s="21" t="s">
        <v>29</v>
      </c>
    </row>
    <row r="89" spans="1:25" s="12" customFormat="1" ht="14.25" customHeight="1" x14ac:dyDescent="0.25">
      <c r="A89" s="38">
        <v>45793</v>
      </c>
      <c r="B89" s="22" t="s">
        <v>24</v>
      </c>
      <c r="C89" s="15" t="s">
        <v>35</v>
      </c>
      <c r="D89" s="23" t="s">
        <v>25</v>
      </c>
      <c r="E89" s="64" t="s">
        <v>84</v>
      </c>
      <c r="F89" s="65" t="s">
        <v>85</v>
      </c>
      <c r="G89" s="65" t="s">
        <v>255</v>
      </c>
      <c r="H89" s="14" t="s">
        <v>38</v>
      </c>
      <c r="I89" s="24" t="s">
        <v>39</v>
      </c>
      <c r="J89" s="14" t="s">
        <v>24</v>
      </c>
      <c r="K89" s="23" t="s">
        <v>32</v>
      </c>
      <c r="L89" s="16">
        <v>45796</v>
      </c>
      <c r="M89" s="14" t="s">
        <v>24</v>
      </c>
      <c r="N89" s="26">
        <v>84</v>
      </c>
      <c r="O89" s="29">
        <v>230</v>
      </c>
      <c r="P89" s="35">
        <v>312.82</v>
      </c>
      <c r="Q89" s="27">
        <v>11600</v>
      </c>
      <c r="R89" s="27">
        <v>11355.39</v>
      </c>
      <c r="S89" s="27">
        <f t="shared" si="3"/>
        <v>244.61000000000058</v>
      </c>
      <c r="T89" s="20" t="s">
        <v>24</v>
      </c>
      <c r="U89" s="20" t="s">
        <v>24</v>
      </c>
      <c r="V89" s="39">
        <v>0</v>
      </c>
      <c r="W89" s="22" t="s">
        <v>24</v>
      </c>
      <c r="X89" s="55"/>
      <c r="Y89" s="21"/>
    </row>
    <row r="90" spans="1:25" s="12" customFormat="1" ht="14.25" customHeight="1" x14ac:dyDescent="0.25">
      <c r="A90" s="38">
        <v>45794</v>
      </c>
      <c r="B90" s="22" t="s">
        <v>24</v>
      </c>
      <c r="C90" s="15" t="s">
        <v>35</v>
      </c>
      <c r="D90" s="23" t="s">
        <v>25</v>
      </c>
      <c r="E90" s="62" t="s">
        <v>235</v>
      </c>
      <c r="F90" s="63" t="s">
        <v>218</v>
      </c>
      <c r="G90" s="63" t="s">
        <v>256</v>
      </c>
      <c r="H90" s="14" t="s">
        <v>31</v>
      </c>
      <c r="I90" s="24" t="s">
        <v>39</v>
      </c>
      <c r="J90" s="14" t="s">
        <v>24</v>
      </c>
      <c r="K90" s="23" t="s">
        <v>32</v>
      </c>
      <c r="L90" s="16">
        <v>45797</v>
      </c>
      <c r="M90" s="14" t="s">
        <v>24</v>
      </c>
      <c r="N90" s="26">
        <v>61</v>
      </c>
      <c r="O90" s="29">
        <v>270.60000000000002</v>
      </c>
      <c r="P90" s="35">
        <v>312.82</v>
      </c>
      <c r="Q90" s="27">
        <v>11355.39</v>
      </c>
      <c r="R90" s="27">
        <v>0</v>
      </c>
      <c r="S90" s="27">
        <f t="shared" si="3"/>
        <v>11355.39</v>
      </c>
      <c r="T90" s="20" t="s">
        <v>24</v>
      </c>
      <c r="U90" s="20" t="s">
        <v>24</v>
      </c>
      <c r="V90" s="39">
        <v>0</v>
      </c>
      <c r="W90" s="22" t="s">
        <v>24</v>
      </c>
      <c r="X90" s="55"/>
      <c r="Y90" s="21" t="s">
        <v>29</v>
      </c>
    </row>
    <row r="91" spans="1:25" s="12" customFormat="1" ht="14.25" customHeight="1" x14ac:dyDescent="0.25">
      <c r="A91" s="38">
        <v>45796</v>
      </c>
      <c r="B91" s="22" t="s">
        <v>24</v>
      </c>
      <c r="C91" s="15" t="s">
        <v>60</v>
      </c>
      <c r="D91" s="23" t="s">
        <v>25</v>
      </c>
      <c r="E91" s="64" t="s">
        <v>90</v>
      </c>
      <c r="F91" s="65" t="s">
        <v>91</v>
      </c>
      <c r="G91" s="65" t="s">
        <v>257</v>
      </c>
      <c r="H91" s="14" t="s">
        <v>38</v>
      </c>
      <c r="I91" s="24" t="s">
        <v>39</v>
      </c>
      <c r="J91" s="14" t="s">
        <v>24</v>
      </c>
      <c r="K91" s="25" t="s">
        <v>28</v>
      </c>
      <c r="L91" s="16">
        <v>45799</v>
      </c>
      <c r="M91" s="14" t="s">
        <v>24</v>
      </c>
      <c r="N91" s="26">
        <v>32</v>
      </c>
      <c r="O91" s="35">
        <v>295</v>
      </c>
      <c r="P91" s="35">
        <v>587.21</v>
      </c>
      <c r="Q91" s="18">
        <v>0</v>
      </c>
      <c r="R91" s="27">
        <v>14599.77</v>
      </c>
      <c r="S91" s="27">
        <f t="shared" si="3"/>
        <v>-14599.77</v>
      </c>
      <c r="T91" s="20" t="s">
        <v>24</v>
      </c>
      <c r="U91" s="20" t="s">
        <v>24</v>
      </c>
      <c r="V91" s="39">
        <v>0</v>
      </c>
      <c r="W91" s="22" t="s">
        <v>24</v>
      </c>
      <c r="X91" s="55"/>
      <c r="Y91" s="21"/>
    </row>
    <row r="92" spans="1:25" s="12" customFormat="1" ht="14.25" customHeight="1" x14ac:dyDescent="0.25">
      <c r="A92" s="38">
        <v>45798</v>
      </c>
      <c r="B92" s="22" t="s">
        <v>24</v>
      </c>
      <c r="C92" s="15" t="s">
        <v>60</v>
      </c>
      <c r="D92" s="23" t="s">
        <v>25</v>
      </c>
      <c r="E92" s="62" t="s">
        <v>258</v>
      </c>
      <c r="F92" s="63" t="s">
        <v>259</v>
      </c>
      <c r="G92" s="63" t="s">
        <v>260</v>
      </c>
      <c r="H92" s="14" t="s">
        <v>31</v>
      </c>
      <c r="I92" s="24" t="s">
        <v>39</v>
      </c>
      <c r="J92" s="14" t="s">
        <v>24</v>
      </c>
      <c r="K92" s="25" t="s">
        <v>28</v>
      </c>
      <c r="L92" s="16">
        <v>45801</v>
      </c>
      <c r="M92" s="14" t="s">
        <v>24</v>
      </c>
      <c r="N92" s="26">
        <v>32</v>
      </c>
      <c r="O92" s="35">
        <v>560.99</v>
      </c>
      <c r="P92" s="35">
        <v>587.21</v>
      </c>
      <c r="Q92" s="27">
        <v>14599.77</v>
      </c>
      <c r="R92" s="27">
        <v>0</v>
      </c>
      <c r="S92" s="27">
        <f t="shared" si="3"/>
        <v>14599.77</v>
      </c>
      <c r="T92" s="20" t="s">
        <v>24</v>
      </c>
      <c r="U92" s="20" t="s">
        <v>24</v>
      </c>
      <c r="V92" s="39">
        <v>0</v>
      </c>
      <c r="W92" s="22" t="s">
        <v>24</v>
      </c>
      <c r="X92" s="55"/>
      <c r="Y92" s="21" t="s">
        <v>29</v>
      </c>
    </row>
    <row r="93" spans="1:25" s="12" customFormat="1" ht="14.25" customHeight="1" x14ac:dyDescent="0.25">
      <c r="A93" s="38">
        <v>45799</v>
      </c>
      <c r="B93" s="22" t="s">
        <v>24</v>
      </c>
      <c r="C93" s="15" t="s">
        <v>60</v>
      </c>
      <c r="D93" s="23" t="s">
        <v>25</v>
      </c>
      <c r="E93" s="64" t="s">
        <v>69</v>
      </c>
      <c r="F93" s="65" t="s">
        <v>70</v>
      </c>
      <c r="G93" s="65" t="s">
        <v>261</v>
      </c>
      <c r="H93" s="24" t="s">
        <v>51</v>
      </c>
      <c r="I93" s="24" t="s">
        <v>39</v>
      </c>
      <c r="J93" s="14" t="s">
        <v>24</v>
      </c>
      <c r="K93" s="25" t="s">
        <v>28</v>
      </c>
      <c r="L93" s="16">
        <v>45802</v>
      </c>
      <c r="M93" s="14" t="s">
        <v>24</v>
      </c>
      <c r="N93" s="26">
        <v>84</v>
      </c>
      <c r="O93" s="29">
        <v>0</v>
      </c>
      <c r="P93" s="35">
        <v>42.35</v>
      </c>
      <c r="Q93" s="19">
        <v>1750.88</v>
      </c>
      <c r="R93" s="27">
        <v>0</v>
      </c>
      <c r="S93" s="27">
        <f t="shared" si="3"/>
        <v>1750.88</v>
      </c>
      <c r="T93" s="20" t="s">
        <v>24</v>
      </c>
      <c r="U93" s="20" t="s">
        <v>24</v>
      </c>
      <c r="V93" s="39">
        <v>0</v>
      </c>
      <c r="W93" s="22" t="s">
        <v>24</v>
      </c>
      <c r="X93" s="55"/>
      <c r="Y93" s="21"/>
    </row>
    <row r="94" spans="1:25" s="12" customFormat="1" ht="14.25" customHeight="1" x14ac:dyDescent="0.25">
      <c r="A94" s="38">
        <v>45801</v>
      </c>
      <c r="B94" s="22" t="s">
        <v>24</v>
      </c>
      <c r="C94" s="15" t="s">
        <v>60</v>
      </c>
      <c r="D94" s="23" t="s">
        <v>25</v>
      </c>
      <c r="E94" s="62" t="s">
        <v>99</v>
      </c>
      <c r="F94" s="63" t="s">
        <v>100</v>
      </c>
      <c r="G94" s="63" t="s">
        <v>262</v>
      </c>
      <c r="H94" s="24" t="s">
        <v>26</v>
      </c>
      <c r="I94" s="24" t="s">
        <v>39</v>
      </c>
      <c r="J94" s="14" t="s">
        <v>24</v>
      </c>
      <c r="K94" s="25" t="s">
        <v>28</v>
      </c>
      <c r="L94" s="16">
        <v>45804</v>
      </c>
      <c r="M94" s="14" t="s">
        <v>24</v>
      </c>
      <c r="N94" s="26">
        <v>84</v>
      </c>
      <c r="O94" s="29">
        <v>0</v>
      </c>
      <c r="P94" s="19">
        <v>253.9</v>
      </c>
      <c r="Q94" s="19">
        <v>10497.1</v>
      </c>
      <c r="R94" s="27">
        <v>0</v>
      </c>
      <c r="S94" s="27">
        <f t="shared" si="3"/>
        <v>10497.1</v>
      </c>
      <c r="T94" s="20" t="s">
        <v>24</v>
      </c>
      <c r="U94" s="20" t="s">
        <v>24</v>
      </c>
      <c r="V94" s="39">
        <v>0</v>
      </c>
      <c r="W94" s="22" t="s">
        <v>24</v>
      </c>
      <c r="X94" s="55"/>
      <c r="Y94" s="21" t="s">
        <v>29</v>
      </c>
    </row>
    <row r="95" spans="1:25" s="12" customFormat="1" ht="14.25" customHeight="1" x14ac:dyDescent="0.25">
      <c r="A95" s="38">
        <v>45803</v>
      </c>
      <c r="B95" s="22" t="s">
        <v>24</v>
      </c>
      <c r="C95" s="15" t="s">
        <v>60</v>
      </c>
      <c r="D95" s="23" t="s">
        <v>25</v>
      </c>
      <c r="E95" s="64" t="s">
        <v>96</v>
      </c>
      <c r="F95" s="65" t="s">
        <v>97</v>
      </c>
      <c r="G95" s="65" t="s">
        <v>263</v>
      </c>
      <c r="H95" s="14" t="s">
        <v>38</v>
      </c>
      <c r="I95" s="24" t="s">
        <v>39</v>
      </c>
      <c r="J95" s="14" t="s">
        <v>24</v>
      </c>
      <c r="K95" s="25" t="s">
        <v>28</v>
      </c>
      <c r="L95" s="16">
        <v>45806</v>
      </c>
      <c r="M95" s="14" t="s">
        <v>24</v>
      </c>
      <c r="N95" s="26">
        <v>84</v>
      </c>
      <c r="O95" s="29">
        <v>235.45</v>
      </c>
      <c r="P95" s="35">
        <v>489.35</v>
      </c>
      <c r="Q95" s="18">
        <v>0</v>
      </c>
      <c r="R95" s="27">
        <v>0</v>
      </c>
      <c r="S95" s="27">
        <f t="shared" si="3"/>
        <v>0</v>
      </c>
      <c r="T95" s="20" t="s">
        <v>24</v>
      </c>
      <c r="U95" s="20" t="s">
        <v>24</v>
      </c>
      <c r="V95" s="39">
        <v>0</v>
      </c>
      <c r="W95" s="22" t="s">
        <v>24</v>
      </c>
      <c r="X95" s="56"/>
      <c r="Y95" s="45"/>
    </row>
    <row r="96" spans="1:25" s="12" customFormat="1" ht="14.25" customHeight="1" x14ac:dyDescent="0.25">
      <c r="A96" s="38">
        <v>45804</v>
      </c>
      <c r="B96" s="22" t="s">
        <v>24</v>
      </c>
      <c r="C96" s="15" t="s">
        <v>60</v>
      </c>
      <c r="D96" s="23" t="s">
        <v>25</v>
      </c>
      <c r="E96" s="62" t="s">
        <v>235</v>
      </c>
      <c r="F96" s="63" t="s">
        <v>218</v>
      </c>
      <c r="G96" s="63" t="s">
        <v>264</v>
      </c>
      <c r="H96" s="14" t="s">
        <v>31</v>
      </c>
      <c r="I96" s="24" t="s">
        <v>39</v>
      </c>
      <c r="J96" s="14" t="s">
        <v>24</v>
      </c>
      <c r="K96" s="25" t="s">
        <v>28</v>
      </c>
      <c r="L96" s="16">
        <v>45807</v>
      </c>
      <c r="M96" s="14" t="s">
        <v>24</v>
      </c>
      <c r="N96" s="26">
        <v>31</v>
      </c>
      <c r="O96" s="29">
        <v>451.47</v>
      </c>
      <c r="P96" s="35">
        <v>489.35</v>
      </c>
      <c r="Q96" s="19">
        <v>11573.25</v>
      </c>
      <c r="R96" s="27">
        <v>0</v>
      </c>
      <c r="S96" s="27">
        <f t="shared" si="3"/>
        <v>11573.25</v>
      </c>
      <c r="T96" s="20" t="s">
        <v>24</v>
      </c>
      <c r="U96" s="20" t="s">
        <v>24</v>
      </c>
      <c r="V96" s="39">
        <v>0</v>
      </c>
      <c r="W96" s="22" t="s">
        <v>24</v>
      </c>
      <c r="X96" s="56"/>
      <c r="Y96" s="45" t="s">
        <v>29</v>
      </c>
    </row>
    <row r="97" spans="1:25" s="43" customFormat="1" ht="14.25" customHeight="1" x14ac:dyDescent="0.25">
      <c r="A97" s="38">
        <v>45806</v>
      </c>
      <c r="B97" s="22" t="s">
        <v>24</v>
      </c>
      <c r="C97" s="15" t="s">
        <v>33</v>
      </c>
      <c r="D97" s="23" t="s">
        <v>25</v>
      </c>
      <c r="E97" s="64" t="s">
        <v>104</v>
      </c>
      <c r="F97" s="65" t="s">
        <v>105</v>
      </c>
      <c r="G97" s="65" t="s">
        <v>265</v>
      </c>
      <c r="H97" s="14" t="s">
        <v>38</v>
      </c>
      <c r="I97" s="31" t="s">
        <v>39</v>
      </c>
      <c r="J97" s="14" t="s">
        <v>24</v>
      </c>
      <c r="K97" s="25" t="s">
        <v>32</v>
      </c>
      <c r="L97" s="16">
        <v>45809</v>
      </c>
      <c r="M97" s="14" t="s">
        <v>24</v>
      </c>
      <c r="N97" s="26">
        <v>84</v>
      </c>
      <c r="O97" s="29">
        <v>282</v>
      </c>
      <c r="P97" s="35">
        <v>640.76</v>
      </c>
      <c r="Q97" s="27">
        <v>14374.98</v>
      </c>
      <c r="R97" s="27">
        <v>14093.16</v>
      </c>
      <c r="S97" s="27">
        <f t="shared" si="3"/>
        <v>281.81999999999971</v>
      </c>
      <c r="T97" s="20" t="s">
        <v>24</v>
      </c>
      <c r="U97" s="20" t="s">
        <v>24</v>
      </c>
      <c r="V97" s="39">
        <v>0</v>
      </c>
      <c r="W97" s="22" t="s">
        <v>24</v>
      </c>
      <c r="X97" s="55"/>
      <c r="Y97" s="21"/>
    </row>
    <row r="98" spans="1:25" s="43" customFormat="1" ht="14.25" customHeight="1" x14ac:dyDescent="0.25">
      <c r="A98" s="38">
        <v>45808</v>
      </c>
      <c r="B98" s="22" t="s">
        <v>24</v>
      </c>
      <c r="C98" s="15" t="s">
        <v>33</v>
      </c>
      <c r="D98" s="23" t="s">
        <v>25</v>
      </c>
      <c r="E98" s="62" t="s">
        <v>135</v>
      </c>
      <c r="F98" s="63" t="s">
        <v>136</v>
      </c>
      <c r="G98" s="63" t="s">
        <v>266</v>
      </c>
      <c r="H98" s="14" t="s">
        <v>31</v>
      </c>
      <c r="I98" s="31" t="s">
        <v>39</v>
      </c>
      <c r="J98" s="14" t="s">
        <v>24</v>
      </c>
      <c r="K98" s="25" t="s">
        <v>32</v>
      </c>
      <c r="L98" s="16">
        <v>45811</v>
      </c>
      <c r="M98" s="14" t="s">
        <v>24</v>
      </c>
      <c r="N98" s="26">
        <v>27</v>
      </c>
      <c r="O98" s="29">
        <v>622.84</v>
      </c>
      <c r="P98" s="35">
        <v>640.76</v>
      </c>
      <c r="Q98" s="27">
        <v>14093.16</v>
      </c>
      <c r="R98" s="27">
        <v>0</v>
      </c>
      <c r="S98" s="27">
        <f t="shared" si="3"/>
        <v>14093.16</v>
      </c>
      <c r="T98" s="20" t="s">
        <v>24</v>
      </c>
      <c r="U98" s="20" t="s">
        <v>24</v>
      </c>
      <c r="V98" s="39">
        <v>0</v>
      </c>
      <c r="W98" s="22" t="s">
        <v>24</v>
      </c>
      <c r="X98" s="55"/>
      <c r="Y98" s="21" t="s">
        <v>29</v>
      </c>
    </row>
    <row r="99" spans="1:25" s="43" customFormat="1" ht="14.25" customHeight="1" x14ac:dyDescent="0.25">
      <c r="A99" s="38">
        <v>45809</v>
      </c>
      <c r="B99" s="22" t="s">
        <v>24</v>
      </c>
      <c r="C99" s="15" t="s">
        <v>60</v>
      </c>
      <c r="D99" s="23" t="s">
        <v>25</v>
      </c>
      <c r="E99" s="64" t="s">
        <v>131</v>
      </c>
      <c r="F99" s="65" t="s">
        <v>132</v>
      </c>
      <c r="G99" s="65" t="s">
        <v>267</v>
      </c>
      <c r="H99" s="14" t="s">
        <v>38</v>
      </c>
      <c r="I99" s="31" t="s">
        <v>39</v>
      </c>
      <c r="J99" s="14" t="s">
        <v>24</v>
      </c>
      <c r="K99" s="25" t="s">
        <v>32</v>
      </c>
      <c r="L99" s="16">
        <v>45812</v>
      </c>
      <c r="M99" s="14" t="s">
        <v>24</v>
      </c>
      <c r="N99" s="26">
        <v>84</v>
      </c>
      <c r="O99" s="29">
        <v>243.96</v>
      </c>
      <c r="P99" s="35">
        <v>465.89</v>
      </c>
      <c r="Q99" s="27">
        <v>12300</v>
      </c>
      <c r="R99" s="27">
        <v>11900</v>
      </c>
      <c r="S99" s="27">
        <f t="shared" si="3"/>
        <v>400</v>
      </c>
      <c r="T99" s="20" t="s">
        <v>24</v>
      </c>
      <c r="U99" s="20" t="s">
        <v>24</v>
      </c>
      <c r="V99" s="39">
        <v>0</v>
      </c>
      <c r="W99" s="22" t="s">
        <v>24</v>
      </c>
      <c r="X99" s="55"/>
      <c r="Y99" s="21"/>
    </row>
    <row r="100" spans="1:25" s="43" customFormat="1" ht="14.25" customHeight="1" x14ac:dyDescent="0.25">
      <c r="A100" s="38">
        <v>45811</v>
      </c>
      <c r="B100" s="22" t="s">
        <v>24</v>
      </c>
      <c r="C100" s="15" t="s">
        <v>60</v>
      </c>
      <c r="D100" s="23" t="s">
        <v>25</v>
      </c>
      <c r="E100" s="62" t="s">
        <v>111</v>
      </c>
      <c r="F100" s="63" t="s">
        <v>112</v>
      </c>
      <c r="G100" s="63" t="s">
        <v>268</v>
      </c>
      <c r="H100" s="14" t="s">
        <v>31</v>
      </c>
      <c r="I100" s="31" t="s">
        <v>39</v>
      </c>
      <c r="J100" s="14" t="s">
        <v>24</v>
      </c>
      <c r="K100" s="25" t="s">
        <v>32</v>
      </c>
      <c r="L100" s="16">
        <v>45814</v>
      </c>
      <c r="M100" s="14" t="s">
        <v>24</v>
      </c>
      <c r="N100" s="26">
        <v>31</v>
      </c>
      <c r="O100" s="29">
        <v>464.21</v>
      </c>
      <c r="P100" s="35">
        <v>465.89</v>
      </c>
      <c r="Q100" s="27">
        <v>11900</v>
      </c>
      <c r="R100" s="27">
        <v>0</v>
      </c>
      <c r="S100" s="27">
        <f t="shared" si="3"/>
        <v>11900</v>
      </c>
      <c r="T100" s="20" t="s">
        <v>24</v>
      </c>
      <c r="U100" s="20" t="s">
        <v>24</v>
      </c>
      <c r="V100" s="39">
        <v>0</v>
      </c>
      <c r="W100" s="22" t="s">
        <v>24</v>
      </c>
      <c r="X100" s="55"/>
      <c r="Y100" s="21" t="s">
        <v>29</v>
      </c>
    </row>
    <row r="101" spans="1:25" s="43" customFormat="1" ht="14.25" customHeight="1" x14ac:dyDescent="0.25">
      <c r="A101" s="38">
        <v>45813</v>
      </c>
      <c r="B101" s="22" t="s">
        <v>24</v>
      </c>
      <c r="C101" s="15" t="s">
        <v>60</v>
      </c>
      <c r="D101" s="23" t="s">
        <v>25</v>
      </c>
      <c r="E101" s="64" t="s">
        <v>114</v>
      </c>
      <c r="F101" s="65" t="s">
        <v>115</v>
      </c>
      <c r="G101" s="65" t="s">
        <v>269</v>
      </c>
      <c r="H101" s="14" t="s">
        <v>51</v>
      </c>
      <c r="I101" s="31" t="s">
        <v>39</v>
      </c>
      <c r="J101" s="14" t="s">
        <v>24</v>
      </c>
      <c r="K101" s="25" t="s">
        <v>28</v>
      </c>
      <c r="L101" s="16">
        <v>45816</v>
      </c>
      <c r="M101" s="14" t="s">
        <v>24</v>
      </c>
      <c r="N101" s="26">
        <v>84</v>
      </c>
      <c r="O101" s="29">
        <v>0</v>
      </c>
      <c r="P101" s="35">
        <v>91.45</v>
      </c>
      <c r="Q101" s="27">
        <v>3947.85</v>
      </c>
      <c r="R101" s="27">
        <v>0</v>
      </c>
      <c r="S101" s="27">
        <f t="shared" si="3"/>
        <v>3947.85</v>
      </c>
      <c r="T101" s="20" t="s">
        <v>24</v>
      </c>
      <c r="U101" s="20" t="s">
        <v>24</v>
      </c>
      <c r="V101" s="39">
        <v>0</v>
      </c>
      <c r="W101" s="22" t="s">
        <v>24</v>
      </c>
      <c r="X101" s="55"/>
      <c r="Y101" s="21"/>
    </row>
    <row r="102" spans="1:25" s="12" customFormat="1" ht="14.25" customHeight="1" x14ac:dyDescent="0.25">
      <c r="A102" s="38">
        <v>45814</v>
      </c>
      <c r="B102" s="22" t="s">
        <v>24</v>
      </c>
      <c r="C102" s="15" t="s">
        <v>60</v>
      </c>
      <c r="D102" s="23" t="s">
        <v>25</v>
      </c>
      <c r="E102" s="62" t="s">
        <v>119</v>
      </c>
      <c r="F102" s="63" t="s">
        <v>120</v>
      </c>
      <c r="G102" s="63" t="s">
        <v>270</v>
      </c>
      <c r="H102" s="14" t="s">
        <v>26</v>
      </c>
      <c r="I102" s="31" t="s">
        <v>39</v>
      </c>
      <c r="J102" s="14" t="s">
        <v>24</v>
      </c>
      <c r="K102" s="25" t="s">
        <v>28</v>
      </c>
      <c r="L102" s="16">
        <v>45817</v>
      </c>
      <c r="M102" s="14" t="s">
        <v>24</v>
      </c>
      <c r="N102" s="26">
        <v>84</v>
      </c>
      <c r="O102" s="29">
        <v>0</v>
      </c>
      <c r="P102" s="35">
        <v>90.45</v>
      </c>
      <c r="Q102" s="27">
        <v>3739.48</v>
      </c>
      <c r="R102" s="27">
        <v>0</v>
      </c>
      <c r="S102" s="27">
        <f t="shared" si="3"/>
        <v>3739.48</v>
      </c>
      <c r="T102" s="20" t="s">
        <v>24</v>
      </c>
      <c r="U102" s="20" t="s">
        <v>24</v>
      </c>
      <c r="V102" s="39">
        <v>0</v>
      </c>
      <c r="W102" s="22" t="s">
        <v>24</v>
      </c>
      <c r="X102" s="55"/>
      <c r="Y102" s="21"/>
    </row>
    <row r="103" spans="1:25" s="12" customFormat="1" ht="14.25" customHeight="1" x14ac:dyDescent="0.25">
      <c r="A103" s="38">
        <v>45816</v>
      </c>
      <c r="B103" s="22" t="s">
        <v>24</v>
      </c>
      <c r="C103" s="15" t="s">
        <v>60</v>
      </c>
      <c r="D103" s="23" t="s">
        <v>25</v>
      </c>
      <c r="E103" s="64" t="s">
        <v>142</v>
      </c>
      <c r="F103" s="65" t="s">
        <v>143</v>
      </c>
      <c r="G103" s="65" t="s">
        <v>271</v>
      </c>
      <c r="H103" s="14" t="s">
        <v>38</v>
      </c>
      <c r="I103" s="31" t="s">
        <v>39</v>
      </c>
      <c r="J103" s="14" t="s">
        <v>24</v>
      </c>
      <c r="K103" s="25" t="s">
        <v>28</v>
      </c>
      <c r="L103" s="16">
        <v>45819</v>
      </c>
      <c r="M103" s="14" t="s">
        <v>24</v>
      </c>
      <c r="N103" s="26">
        <v>84</v>
      </c>
      <c r="O103" s="29">
        <v>240.25</v>
      </c>
      <c r="P103" s="35">
        <v>330.73</v>
      </c>
      <c r="Q103" s="18">
        <v>0</v>
      </c>
      <c r="R103" s="35">
        <v>0</v>
      </c>
      <c r="S103" s="27">
        <f t="shared" si="3"/>
        <v>0</v>
      </c>
      <c r="T103" s="20" t="s">
        <v>24</v>
      </c>
      <c r="U103" s="20" t="s">
        <v>24</v>
      </c>
      <c r="V103" s="39">
        <v>0</v>
      </c>
      <c r="W103" s="22" t="s">
        <v>24</v>
      </c>
      <c r="X103" s="55"/>
      <c r="Y103" s="21" t="s">
        <v>29</v>
      </c>
    </row>
    <row r="104" spans="1:25" s="12" customFormat="1" ht="14.25" customHeight="1" x14ac:dyDescent="0.25">
      <c r="A104" s="38">
        <v>45817</v>
      </c>
      <c r="B104" s="22" t="s">
        <v>24</v>
      </c>
      <c r="C104" s="15" t="s">
        <v>60</v>
      </c>
      <c r="D104" s="23" t="s">
        <v>25</v>
      </c>
      <c r="E104" s="62" t="s">
        <v>131</v>
      </c>
      <c r="F104" s="63" t="s">
        <v>132</v>
      </c>
      <c r="G104" s="63" t="s">
        <v>272</v>
      </c>
      <c r="H104" s="14" t="s">
        <v>31</v>
      </c>
      <c r="I104" s="31" t="s">
        <v>39</v>
      </c>
      <c r="J104" s="14" t="s">
        <v>24</v>
      </c>
      <c r="K104" s="25" t="s">
        <v>28</v>
      </c>
      <c r="L104" s="16">
        <v>45820</v>
      </c>
      <c r="M104" s="14" t="s">
        <v>24</v>
      </c>
      <c r="N104" s="26">
        <v>51</v>
      </c>
      <c r="O104" s="29">
        <v>13.08</v>
      </c>
      <c r="P104" s="35">
        <v>330.73</v>
      </c>
      <c r="Q104" s="35">
        <v>11815.06</v>
      </c>
      <c r="R104" s="27">
        <v>0</v>
      </c>
      <c r="S104" s="27">
        <f t="shared" si="3"/>
        <v>11815.06</v>
      </c>
      <c r="T104" s="20" t="s">
        <v>24</v>
      </c>
      <c r="U104" s="20" t="s">
        <v>24</v>
      </c>
      <c r="V104" s="39">
        <v>0</v>
      </c>
      <c r="W104" s="22" t="s">
        <v>24</v>
      </c>
      <c r="X104" s="55"/>
      <c r="Y104" s="21" t="s">
        <v>29</v>
      </c>
    </row>
    <row r="105" spans="1:25" s="12" customFormat="1" ht="14.25" customHeight="1" x14ac:dyDescent="0.25">
      <c r="A105" s="38">
        <v>45819</v>
      </c>
      <c r="B105" s="13" t="s">
        <v>24</v>
      </c>
      <c r="C105" s="15" t="s">
        <v>59</v>
      </c>
      <c r="D105" s="23" t="s">
        <v>25</v>
      </c>
      <c r="E105" s="64" t="s">
        <v>66</v>
      </c>
      <c r="F105" s="65" t="s">
        <v>67</v>
      </c>
      <c r="G105" s="65" t="s">
        <v>273</v>
      </c>
      <c r="H105" s="14" t="s">
        <v>38</v>
      </c>
      <c r="I105" s="24" t="s">
        <v>39</v>
      </c>
      <c r="J105" s="14" t="s">
        <v>24</v>
      </c>
      <c r="K105" s="14" t="s">
        <v>32</v>
      </c>
      <c r="L105" s="16">
        <v>45822</v>
      </c>
      <c r="M105" s="14" t="s">
        <v>24</v>
      </c>
      <c r="N105" s="26">
        <v>84</v>
      </c>
      <c r="O105" s="29">
        <v>264.76</v>
      </c>
      <c r="P105" s="35">
        <v>361</v>
      </c>
      <c r="Q105" s="35">
        <v>13353.12</v>
      </c>
      <c r="R105" s="35">
        <v>13053.12</v>
      </c>
      <c r="S105" s="40">
        <f t="shared" si="3"/>
        <v>300</v>
      </c>
      <c r="T105" s="20" t="s">
        <v>24</v>
      </c>
      <c r="U105" s="20" t="s">
        <v>24</v>
      </c>
      <c r="V105" s="39">
        <v>0</v>
      </c>
      <c r="W105" s="22" t="s">
        <v>24</v>
      </c>
      <c r="X105" s="55"/>
      <c r="Y105" s="21" t="s">
        <v>29</v>
      </c>
    </row>
    <row r="106" spans="1:25" s="12" customFormat="1" ht="14.25" customHeight="1" x14ac:dyDescent="0.25">
      <c r="A106" s="38">
        <v>45821</v>
      </c>
      <c r="B106" s="13" t="s">
        <v>24</v>
      </c>
      <c r="C106" s="15" t="s">
        <v>59</v>
      </c>
      <c r="D106" s="23" t="s">
        <v>25</v>
      </c>
      <c r="E106" s="62" t="s">
        <v>125</v>
      </c>
      <c r="F106" s="63" t="s">
        <v>126</v>
      </c>
      <c r="G106" s="63" t="s">
        <v>274</v>
      </c>
      <c r="H106" s="14" t="s">
        <v>31</v>
      </c>
      <c r="I106" s="24" t="s">
        <v>39</v>
      </c>
      <c r="J106" s="14" t="s">
        <v>24</v>
      </c>
      <c r="K106" s="14" t="s">
        <v>32</v>
      </c>
      <c r="L106" s="16">
        <v>45824</v>
      </c>
      <c r="M106" s="14" t="s">
        <v>24</v>
      </c>
      <c r="N106" s="26">
        <v>60</v>
      </c>
      <c r="O106" s="29">
        <v>308.58999999999997</v>
      </c>
      <c r="P106" s="35">
        <v>361</v>
      </c>
      <c r="Q106" s="35">
        <v>13053.12</v>
      </c>
      <c r="R106" s="27">
        <v>0</v>
      </c>
      <c r="S106" s="40">
        <f t="shared" si="3"/>
        <v>13053.12</v>
      </c>
      <c r="T106" s="20" t="s">
        <v>24</v>
      </c>
      <c r="U106" s="20" t="s">
        <v>24</v>
      </c>
      <c r="V106" s="39">
        <v>0</v>
      </c>
      <c r="W106" s="22" t="s">
        <v>24</v>
      </c>
      <c r="X106" s="55"/>
      <c r="Y106" s="21" t="s">
        <v>29</v>
      </c>
    </row>
    <row r="107" spans="1:25" s="12" customFormat="1" ht="14.25" customHeight="1" x14ac:dyDescent="0.25">
      <c r="A107" s="38">
        <v>45822</v>
      </c>
      <c r="B107" s="13" t="s">
        <v>24</v>
      </c>
      <c r="C107" s="15" t="s">
        <v>59</v>
      </c>
      <c r="D107" s="23" t="s">
        <v>25</v>
      </c>
      <c r="E107" s="64" t="s">
        <v>258</v>
      </c>
      <c r="F107" s="65" t="s">
        <v>259</v>
      </c>
      <c r="G107" s="65" t="s">
        <v>275</v>
      </c>
      <c r="H107" s="31" t="s">
        <v>26</v>
      </c>
      <c r="I107" s="24" t="s">
        <v>39</v>
      </c>
      <c r="J107" s="14" t="s">
        <v>24</v>
      </c>
      <c r="K107" s="14" t="s">
        <v>32</v>
      </c>
      <c r="L107" s="16">
        <v>45825</v>
      </c>
      <c r="M107" s="14" t="s">
        <v>24</v>
      </c>
      <c r="N107" s="26">
        <v>84</v>
      </c>
      <c r="O107" s="29">
        <v>0</v>
      </c>
      <c r="P107" s="35">
        <v>53.9</v>
      </c>
      <c r="Q107" s="35">
        <v>2228.39</v>
      </c>
      <c r="R107" s="27">
        <v>0</v>
      </c>
      <c r="S107" s="40">
        <f t="shared" si="3"/>
        <v>2228.39</v>
      </c>
      <c r="T107" s="20" t="s">
        <v>24</v>
      </c>
      <c r="U107" s="20" t="s">
        <v>24</v>
      </c>
      <c r="V107" s="39">
        <v>0</v>
      </c>
      <c r="W107" s="22" t="s">
        <v>24</v>
      </c>
      <c r="X107" s="55"/>
      <c r="Y107" s="21" t="s">
        <v>29</v>
      </c>
    </row>
    <row r="108" spans="1:25" s="12" customFormat="1" ht="14.25" customHeight="1" x14ac:dyDescent="0.25">
      <c r="A108" s="38">
        <v>45824</v>
      </c>
      <c r="B108" s="13" t="s">
        <v>24</v>
      </c>
      <c r="C108" s="15" t="s">
        <v>60</v>
      </c>
      <c r="D108" s="23" t="s">
        <v>25</v>
      </c>
      <c r="E108" s="62" t="s">
        <v>131</v>
      </c>
      <c r="F108" s="63" t="s">
        <v>132</v>
      </c>
      <c r="G108" s="63" t="s">
        <v>276</v>
      </c>
      <c r="H108" s="14" t="s">
        <v>38</v>
      </c>
      <c r="I108" s="24" t="s">
        <v>39</v>
      </c>
      <c r="J108" s="14" t="s">
        <v>24</v>
      </c>
      <c r="K108" s="14" t="s">
        <v>28</v>
      </c>
      <c r="L108" s="38">
        <v>45827</v>
      </c>
      <c r="M108" s="14" t="s">
        <v>24</v>
      </c>
      <c r="N108" s="26">
        <v>84</v>
      </c>
      <c r="O108" s="29">
        <v>330</v>
      </c>
      <c r="P108" s="29">
        <v>426.57</v>
      </c>
      <c r="Q108" s="18">
        <v>0</v>
      </c>
      <c r="R108" s="27">
        <v>0</v>
      </c>
      <c r="S108" s="40">
        <f t="shared" si="3"/>
        <v>0</v>
      </c>
      <c r="T108" s="20" t="s">
        <v>24</v>
      </c>
      <c r="U108" s="20" t="s">
        <v>24</v>
      </c>
      <c r="V108" s="39">
        <v>0</v>
      </c>
      <c r="W108" s="22" t="s">
        <v>24</v>
      </c>
      <c r="X108" s="55"/>
      <c r="Y108" s="21" t="s">
        <v>29</v>
      </c>
    </row>
    <row r="109" spans="1:25" s="12" customFormat="1" ht="14.25" customHeight="1" x14ac:dyDescent="0.25">
      <c r="A109" s="38">
        <v>45826</v>
      </c>
      <c r="B109" s="13" t="s">
        <v>24</v>
      </c>
      <c r="C109" s="15" t="s">
        <v>60</v>
      </c>
      <c r="D109" s="23" t="s">
        <v>25</v>
      </c>
      <c r="E109" s="64" t="s">
        <v>277</v>
      </c>
      <c r="F109" s="65" t="s">
        <v>240</v>
      </c>
      <c r="G109" s="65" t="s">
        <v>278</v>
      </c>
      <c r="H109" s="14" t="s">
        <v>31</v>
      </c>
      <c r="I109" s="24" t="s">
        <v>39</v>
      </c>
      <c r="J109" s="14" t="s">
        <v>24</v>
      </c>
      <c r="K109" s="14" t="s">
        <v>28</v>
      </c>
      <c r="L109" s="38">
        <v>45829</v>
      </c>
      <c r="M109" s="14" t="s">
        <v>24</v>
      </c>
      <c r="N109" s="26">
        <v>0</v>
      </c>
      <c r="O109" s="29">
        <v>425.92</v>
      </c>
      <c r="P109" s="29">
        <v>426.57</v>
      </c>
      <c r="Q109" s="27">
        <v>16300</v>
      </c>
      <c r="R109" s="27">
        <v>0</v>
      </c>
      <c r="S109" s="40">
        <f t="shared" si="3"/>
        <v>16300</v>
      </c>
      <c r="T109" s="20" t="s">
        <v>24</v>
      </c>
      <c r="U109" s="20" t="s">
        <v>24</v>
      </c>
      <c r="V109" s="39">
        <v>0</v>
      </c>
      <c r="W109" s="22" t="s">
        <v>24</v>
      </c>
      <c r="X109" s="55"/>
      <c r="Y109" s="21" t="s">
        <v>29</v>
      </c>
    </row>
    <row r="110" spans="1:25" s="12" customFormat="1" ht="14.25" customHeight="1" x14ac:dyDescent="0.25">
      <c r="A110" s="38">
        <v>45827</v>
      </c>
      <c r="B110" s="13" t="s">
        <v>24</v>
      </c>
      <c r="C110" s="15" t="s">
        <v>59</v>
      </c>
      <c r="D110" s="23" t="s">
        <v>25</v>
      </c>
      <c r="E110" s="62" t="s">
        <v>72</v>
      </c>
      <c r="F110" s="63" t="s">
        <v>73</v>
      </c>
      <c r="G110" s="63" t="s">
        <v>279</v>
      </c>
      <c r="H110" s="24" t="s">
        <v>38</v>
      </c>
      <c r="I110" s="31" t="s">
        <v>39</v>
      </c>
      <c r="J110" s="14" t="s">
        <v>24</v>
      </c>
      <c r="K110" s="14" t="s">
        <v>28</v>
      </c>
      <c r="L110" s="38">
        <v>45830</v>
      </c>
      <c r="M110" s="14" t="s">
        <v>24</v>
      </c>
      <c r="N110" s="26">
        <v>84</v>
      </c>
      <c r="O110" s="29">
        <v>55.32</v>
      </c>
      <c r="P110" s="29">
        <v>79.56</v>
      </c>
      <c r="Q110" s="18">
        <v>0</v>
      </c>
      <c r="R110" s="27">
        <v>0</v>
      </c>
      <c r="S110" s="40">
        <f t="shared" si="3"/>
        <v>0</v>
      </c>
      <c r="T110" s="20" t="s">
        <v>24</v>
      </c>
      <c r="U110" s="20" t="s">
        <v>24</v>
      </c>
      <c r="V110" s="39">
        <v>0</v>
      </c>
      <c r="W110" s="22" t="s">
        <v>24</v>
      </c>
      <c r="X110" s="55"/>
      <c r="Y110" s="21"/>
    </row>
    <row r="111" spans="1:25" s="12" customFormat="1" ht="14.25" customHeight="1" x14ac:dyDescent="0.25">
      <c r="A111" s="38">
        <v>45829</v>
      </c>
      <c r="B111" s="13" t="s">
        <v>24</v>
      </c>
      <c r="C111" s="15" t="s">
        <v>59</v>
      </c>
      <c r="D111" s="23" t="s">
        <v>25</v>
      </c>
      <c r="E111" s="64" t="s">
        <v>138</v>
      </c>
      <c r="F111" s="65" t="s">
        <v>139</v>
      </c>
      <c r="G111" s="65" t="s">
        <v>280</v>
      </c>
      <c r="H111" s="14" t="s">
        <v>31</v>
      </c>
      <c r="I111" s="31" t="s">
        <v>39</v>
      </c>
      <c r="J111" s="14" t="s">
        <v>24</v>
      </c>
      <c r="K111" s="14" t="s">
        <v>28</v>
      </c>
      <c r="L111" s="38">
        <v>45832</v>
      </c>
      <c r="M111" s="14" t="s">
        <v>24</v>
      </c>
      <c r="N111" s="26">
        <v>45</v>
      </c>
      <c r="O111" s="29">
        <v>72.150000000000006</v>
      </c>
      <c r="P111" s="29">
        <v>79.56</v>
      </c>
      <c r="Q111" s="32">
        <v>0</v>
      </c>
      <c r="R111" s="27">
        <v>0</v>
      </c>
      <c r="S111" s="40">
        <f t="shared" si="3"/>
        <v>0</v>
      </c>
      <c r="T111" s="20" t="s">
        <v>24</v>
      </c>
      <c r="U111" s="20" t="s">
        <v>24</v>
      </c>
      <c r="V111" s="39">
        <v>0</v>
      </c>
      <c r="W111" s="22" t="s">
        <v>24</v>
      </c>
      <c r="X111" s="55"/>
      <c r="Y111" s="21" t="s">
        <v>29</v>
      </c>
    </row>
    <row r="112" spans="1:25" s="12" customFormat="1" ht="14.25" customHeight="1" x14ac:dyDescent="0.25">
      <c r="A112" s="38">
        <v>45830</v>
      </c>
      <c r="B112" s="13" t="s">
        <v>24</v>
      </c>
      <c r="C112" s="15" t="s">
        <v>59</v>
      </c>
      <c r="D112" s="23" t="s">
        <v>25</v>
      </c>
      <c r="E112" s="62" t="s">
        <v>281</v>
      </c>
      <c r="F112" s="63" t="s">
        <v>282</v>
      </c>
      <c r="G112" s="63" t="s">
        <v>283</v>
      </c>
      <c r="H112" s="24" t="s">
        <v>38</v>
      </c>
      <c r="I112" s="31" t="s">
        <v>39</v>
      </c>
      <c r="J112" s="14" t="s">
        <v>24</v>
      </c>
      <c r="K112" s="14" t="s">
        <v>28</v>
      </c>
      <c r="L112" s="38">
        <v>45833</v>
      </c>
      <c r="M112" s="14" t="s">
        <v>24</v>
      </c>
      <c r="N112" s="26">
        <v>84</v>
      </c>
      <c r="O112" s="29">
        <v>128</v>
      </c>
      <c r="P112" s="29">
        <v>166.3</v>
      </c>
      <c r="Q112" s="18">
        <v>0</v>
      </c>
      <c r="R112" s="27">
        <v>0</v>
      </c>
      <c r="S112" s="40">
        <f t="shared" si="3"/>
        <v>0</v>
      </c>
      <c r="T112" s="20" t="s">
        <v>24</v>
      </c>
      <c r="U112" s="20" t="s">
        <v>24</v>
      </c>
      <c r="V112" s="39">
        <v>0</v>
      </c>
      <c r="W112" s="22" t="s">
        <v>24</v>
      </c>
      <c r="X112" s="55"/>
      <c r="Y112" s="21"/>
    </row>
    <row r="113" spans="1:25" s="12" customFormat="1" ht="14.25" customHeight="1" x14ac:dyDescent="0.25">
      <c r="A113" s="38">
        <v>45832</v>
      </c>
      <c r="B113" s="13" t="s">
        <v>24</v>
      </c>
      <c r="C113" s="15" t="s">
        <v>59</v>
      </c>
      <c r="D113" s="23" t="s">
        <v>25</v>
      </c>
      <c r="E113" s="64" t="s">
        <v>284</v>
      </c>
      <c r="F113" s="65" t="s">
        <v>285</v>
      </c>
      <c r="G113" s="65" t="s">
        <v>286</v>
      </c>
      <c r="H113" s="14" t="s">
        <v>31</v>
      </c>
      <c r="I113" s="31" t="s">
        <v>39</v>
      </c>
      <c r="J113" s="14" t="s">
        <v>24</v>
      </c>
      <c r="K113" s="14" t="s">
        <v>28</v>
      </c>
      <c r="L113" s="38">
        <v>45835</v>
      </c>
      <c r="M113" s="14" t="s">
        <v>24</v>
      </c>
      <c r="N113" s="26">
        <v>57</v>
      </c>
      <c r="O113" s="29">
        <v>150.05000000000001</v>
      </c>
      <c r="P113" s="29">
        <v>166.3</v>
      </c>
      <c r="Q113" s="32">
        <v>0</v>
      </c>
      <c r="R113" s="27">
        <v>0</v>
      </c>
      <c r="S113" s="40">
        <f t="shared" si="3"/>
        <v>0</v>
      </c>
      <c r="T113" s="20" t="s">
        <v>24</v>
      </c>
      <c r="U113" s="20" t="s">
        <v>24</v>
      </c>
      <c r="V113" s="39">
        <v>0</v>
      </c>
      <c r="W113" s="22" t="s">
        <v>24</v>
      </c>
      <c r="X113" s="55"/>
      <c r="Y113" s="21" t="s">
        <v>29</v>
      </c>
    </row>
    <row r="114" spans="1:25" s="12" customFormat="1" ht="14.25" customHeight="1" x14ac:dyDescent="0.25">
      <c r="A114" s="38">
        <v>45834</v>
      </c>
      <c r="B114" s="13">
        <v>45841</v>
      </c>
      <c r="C114" s="15" t="s">
        <v>60</v>
      </c>
      <c r="D114" s="23" t="s">
        <v>25</v>
      </c>
      <c r="E114" s="62" t="s">
        <v>287</v>
      </c>
      <c r="F114" s="63" t="s">
        <v>288</v>
      </c>
      <c r="G114" s="63" t="s">
        <v>289</v>
      </c>
      <c r="H114" s="14" t="s">
        <v>38</v>
      </c>
      <c r="I114" s="24" t="s">
        <v>40</v>
      </c>
      <c r="J114" s="14" t="s">
        <v>24</v>
      </c>
      <c r="K114" s="25" t="s">
        <v>28</v>
      </c>
      <c r="L114" s="16">
        <v>45837</v>
      </c>
      <c r="M114" s="14" t="s">
        <v>24</v>
      </c>
      <c r="N114" s="17">
        <v>84</v>
      </c>
      <c r="O114" s="42">
        <v>0</v>
      </c>
      <c r="P114" s="37">
        <v>476.86</v>
      </c>
      <c r="Q114" s="18">
        <v>0</v>
      </c>
      <c r="R114" s="18">
        <v>0</v>
      </c>
      <c r="S114" s="39">
        <f t="shared" si="3"/>
        <v>0</v>
      </c>
      <c r="T114" s="20" t="s">
        <v>24</v>
      </c>
      <c r="U114" s="20" t="s">
        <v>24</v>
      </c>
      <c r="V114" s="39">
        <v>0</v>
      </c>
      <c r="W114" s="36" t="s">
        <v>24</v>
      </c>
      <c r="X114" s="55"/>
      <c r="Y114" s="21"/>
    </row>
    <row r="115" spans="1:25" s="12" customFormat="1" ht="14.25" customHeight="1" x14ac:dyDescent="0.25">
      <c r="A115" s="38">
        <v>45835</v>
      </c>
      <c r="B115" s="13">
        <v>45842</v>
      </c>
      <c r="C115" s="15" t="s">
        <v>60</v>
      </c>
      <c r="D115" s="23" t="s">
        <v>25</v>
      </c>
      <c r="E115" s="64" t="s">
        <v>111</v>
      </c>
      <c r="F115" s="65" t="s">
        <v>112</v>
      </c>
      <c r="G115" s="65" t="s">
        <v>290</v>
      </c>
      <c r="H115" s="14" t="s">
        <v>31</v>
      </c>
      <c r="I115" s="24" t="s">
        <v>40</v>
      </c>
      <c r="J115" s="14" t="s">
        <v>24</v>
      </c>
      <c r="K115" s="25" t="s">
        <v>28</v>
      </c>
      <c r="L115" s="16">
        <v>45838</v>
      </c>
      <c r="M115" s="14" t="s">
        <v>24</v>
      </c>
      <c r="N115" s="17">
        <v>0</v>
      </c>
      <c r="O115" s="29">
        <v>0</v>
      </c>
      <c r="P115" s="37">
        <v>476.86</v>
      </c>
      <c r="Q115" s="46">
        <v>19819</v>
      </c>
      <c r="R115" s="18">
        <v>0</v>
      </c>
      <c r="S115" s="39">
        <f t="shared" si="3"/>
        <v>19819</v>
      </c>
      <c r="T115" s="20" t="s">
        <v>24</v>
      </c>
      <c r="U115" s="20" t="s">
        <v>24</v>
      </c>
      <c r="V115" s="39">
        <v>0</v>
      </c>
      <c r="W115" s="36" t="s">
        <v>24</v>
      </c>
      <c r="X115" s="55"/>
      <c r="Y115" s="21" t="s">
        <v>29</v>
      </c>
    </row>
    <row r="116" spans="1:25" s="12" customFormat="1" ht="14.25" customHeight="1" x14ac:dyDescent="0.25">
      <c r="A116" s="38">
        <v>45837</v>
      </c>
      <c r="B116" s="13" t="s">
        <v>24</v>
      </c>
      <c r="C116" s="15" t="s">
        <v>60</v>
      </c>
      <c r="D116" s="23" t="s">
        <v>25</v>
      </c>
      <c r="E116" s="62" t="s">
        <v>149</v>
      </c>
      <c r="F116" s="63" t="s">
        <v>150</v>
      </c>
      <c r="G116" s="63" t="s">
        <v>291</v>
      </c>
      <c r="H116" s="14" t="s">
        <v>38</v>
      </c>
      <c r="I116" s="31" t="s">
        <v>27</v>
      </c>
      <c r="J116" s="14" t="s">
        <v>24</v>
      </c>
      <c r="K116" s="25" t="s">
        <v>28</v>
      </c>
      <c r="L116" s="16">
        <v>45840</v>
      </c>
      <c r="M116" s="14" t="s">
        <v>24</v>
      </c>
      <c r="N116" s="17">
        <v>84</v>
      </c>
      <c r="O116" s="29">
        <v>441.33</v>
      </c>
      <c r="P116" s="47">
        <v>568.04</v>
      </c>
      <c r="Q116" s="18">
        <v>0</v>
      </c>
      <c r="R116" s="18">
        <v>0</v>
      </c>
      <c r="S116" s="39">
        <f t="shared" si="3"/>
        <v>0</v>
      </c>
      <c r="T116" s="20" t="s">
        <v>24</v>
      </c>
      <c r="U116" s="20" t="s">
        <v>24</v>
      </c>
      <c r="V116" s="39">
        <v>0</v>
      </c>
      <c r="W116" s="36" t="s">
        <v>24</v>
      </c>
      <c r="X116" s="55"/>
      <c r="Y116" s="21" t="s">
        <v>29</v>
      </c>
    </row>
    <row r="117" spans="1:25" s="12" customFormat="1" ht="14.25" customHeight="1" x14ac:dyDescent="0.25">
      <c r="A117" s="38">
        <v>45839</v>
      </c>
      <c r="B117" s="13" t="s">
        <v>24</v>
      </c>
      <c r="C117" s="15" t="s">
        <v>60</v>
      </c>
      <c r="D117" s="23" t="s">
        <v>25</v>
      </c>
      <c r="E117" s="64" t="s">
        <v>152</v>
      </c>
      <c r="F117" s="65" t="s">
        <v>153</v>
      </c>
      <c r="G117" s="65" t="s">
        <v>292</v>
      </c>
      <c r="H117" s="14" t="s">
        <v>31</v>
      </c>
      <c r="I117" s="31" t="s">
        <v>27</v>
      </c>
      <c r="J117" s="14" t="s">
        <v>24</v>
      </c>
      <c r="K117" s="25" t="s">
        <v>28</v>
      </c>
      <c r="L117" s="16">
        <v>45842</v>
      </c>
      <c r="M117" s="14" t="s">
        <v>24</v>
      </c>
      <c r="N117" s="17">
        <v>58</v>
      </c>
      <c r="O117" s="29">
        <v>562.20000000000005</v>
      </c>
      <c r="P117" s="47">
        <v>568.04</v>
      </c>
      <c r="Q117" s="18">
        <v>23707.43</v>
      </c>
      <c r="R117" s="18">
        <v>0</v>
      </c>
      <c r="S117" s="39">
        <f t="shared" si="3"/>
        <v>23707.43</v>
      </c>
      <c r="T117" s="20" t="s">
        <v>24</v>
      </c>
      <c r="U117" s="20" t="s">
        <v>24</v>
      </c>
      <c r="V117" s="39">
        <v>0</v>
      </c>
      <c r="W117" s="36" t="s">
        <v>24</v>
      </c>
      <c r="X117" s="55"/>
      <c r="Y117" s="21" t="s">
        <v>29</v>
      </c>
    </row>
    <row r="118" spans="1:25" s="12" customFormat="1" ht="14.25" customHeight="1" x14ac:dyDescent="0.25">
      <c r="A118" s="38">
        <v>45840</v>
      </c>
      <c r="B118" s="13" t="s">
        <v>24</v>
      </c>
      <c r="C118" s="31" t="s">
        <v>33</v>
      </c>
      <c r="D118" s="23" t="s">
        <v>25</v>
      </c>
      <c r="E118" s="62" t="s">
        <v>155</v>
      </c>
      <c r="F118" s="63" t="s">
        <v>156</v>
      </c>
      <c r="G118" s="63" t="s">
        <v>293</v>
      </c>
      <c r="H118" s="14" t="s">
        <v>38</v>
      </c>
      <c r="I118" s="31" t="s">
        <v>39</v>
      </c>
      <c r="J118" s="14" t="s">
        <v>24</v>
      </c>
      <c r="K118" s="14" t="s">
        <v>28</v>
      </c>
      <c r="L118" s="38">
        <v>45843</v>
      </c>
      <c r="M118" s="14" t="s">
        <v>24</v>
      </c>
      <c r="N118" s="26">
        <v>84</v>
      </c>
      <c r="O118" s="29">
        <v>124</v>
      </c>
      <c r="P118" s="44">
        <v>498.64</v>
      </c>
      <c r="Q118" s="18">
        <v>0</v>
      </c>
      <c r="R118" s="27">
        <v>0</v>
      </c>
      <c r="S118" s="40">
        <f t="shared" si="3"/>
        <v>0</v>
      </c>
      <c r="T118" s="20" t="s">
        <v>24</v>
      </c>
      <c r="U118" s="20" t="s">
        <v>24</v>
      </c>
      <c r="V118" s="39">
        <v>0</v>
      </c>
      <c r="W118" s="22" t="s">
        <v>24</v>
      </c>
      <c r="X118" s="55"/>
      <c r="Y118" s="21" t="s">
        <v>29</v>
      </c>
    </row>
    <row r="119" spans="1:25" s="12" customFormat="1" ht="14.25" customHeight="1" x14ac:dyDescent="0.25">
      <c r="A119" s="38">
        <v>45842</v>
      </c>
      <c r="B119" s="13" t="s">
        <v>24</v>
      </c>
      <c r="C119" s="31" t="s">
        <v>33</v>
      </c>
      <c r="D119" s="23" t="s">
        <v>25</v>
      </c>
      <c r="E119" s="64" t="s">
        <v>75</v>
      </c>
      <c r="F119" s="65" t="s">
        <v>76</v>
      </c>
      <c r="G119" s="65" t="s">
        <v>294</v>
      </c>
      <c r="H119" s="14" t="s">
        <v>31</v>
      </c>
      <c r="I119" s="31" t="s">
        <v>39</v>
      </c>
      <c r="J119" s="14" t="s">
        <v>24</v>
      </c>
      <c r="K119" s="14" t="s">
        <v>28</v>
      </c>
      <c r="L119" s="38">
        <v>45845</v>
      </c>
      <c r="M119" s="14" t="s">
        <v>24</v>
      </c>
      <c r="N119" s="26">
        <v>13</v>
      </c>
      <c r="O119" s="29">
        <v>497.84</v>
      </c>
      <c r="P119" s="44">
        <v>498.64</v>
      </c>
      <c r="Q119" s="27">
        <v>5938.52</v>
      </c>
      <c r="R119" s="27">
        <v>0</v>
      </c>
      <c r="S119" s="40">
        <f t="shared" si="3"/>
        <v>5938.52</v>
      </c>
      <c r="T119" s="20" t="s">
        <v>24</v>
      </c>
      <c r="U119" s="20" t="s">
        <v>24</v>
      </c>
      <c r="V119" s="39">
        <v>0</v>
      </c>
      <c r="W119" s="22" t="s">
        <v>24</v>
      </c>
      <c r="X119" s="55"/>
      <c r="Y119" s="21" t="s">
        <v>29</v>
      </c>
    </row>
    <row r="120" spans="1:25" s="43" customFormat="1" ht="14.25" customHeight="1" x14ac:dyDescent="0.25">
      <c r="A120" s="38">
        <v>45844</v>
      </c>
      <c r="B120" s="13">
        <v>45851</v>
      </c>
      <c r="C120" s="15" t="s">
        <v>60</v>
      </c>
      <c r="D120" s="23" t="s">
        <v>25</v>
      </c>
      <c r="E120" s="62" t="s">
        <v>161</v>
      </c>
      <c r="F120" s="63" t="s">
        <v>162</v>
      </c>
      <c r="G120" s="63" t="s">
        <v>295</v>
      </c>
      <c r="H120" s="14" t="s">
        <v>38</v>
      </c>
      <c r="I120" s="31" t="s">
        <v>40</v>
      </c>
      <c r="J120" s="14" t="s">
        <v>24</v>
      </c>
      <c r="K120" s="25" t="s">
        <v>28</v>
      </c>
      <c r="L120" s="16">
        <v>45847</v>
      </c>
      <c r="M120" s="14" t="s">
        <v>24</v>
      </c>
      <c r="N120" s="26">
        <v>84</v>
      </c>
      <c r="O120" s="29">
        <v>191.5</v>
      </c>
      <c r="P120" s="48">
        <v>375.09</v>
      </c>
      <c r="Q120" s="18">
        <v>0</v>
      </c>
      <c r="R120" s="27">
        <v>0</v>
      </c>
      <c r="S120" s="27">
        <f t="shared" si="3"/>
        <v>0</v>
      </c>
      <c r="T120" s="20" t="s">
        <v>24</v>
      </c>
      <c r="U120" s="20" t="s">
        <v>24</v>
      </c>
      <c r="V120" s="39">
        <v>0</v>
      </c>
      <c r="W120" s="22" t="s">
        <v>24</v>
      </c>
      <c r="X120" s="55"/>
      <c r="Y120" s="21" t="s">
        <v>29</v>
      </c>
    </row>
    <row r="121" spans="1:25" s="43" customFormat="1" ht="14.25" customHeight="1" x14ac:dyDescent="0.25">
      <c r="A121" s="38">
        <v>45845</v>
      </c>
      <c r="B121" s="13">
        <v>45852</v>
      </c>
      <c r="C121" s="15" t="s">
        <v>60</v>
      </c>
      <c r="D121" s="23" t="s">
        <v>25</v>
      </c>
      <c r="E121" s="64" t="s">
        <v>296</v>
      </c>
      <c r="F121" s="65" t="s">
        <v>297</v>
      </c>
      <c r="G121" s="65" t="s">
        <v>298</v>
      </c>
      <c r="H121" s="14" t="s">
        <v>31</v>
      </c>
      <c r="I121" s="31" t="s">
        <v>40</v>
      </c>
      <c r="J121" s="14" t="s">
        <v>24</v>
      </c>
      <c r="K121" s="25" t="s">
        <v>28</v>
      </c>
      <c r="L121" s="16">
        <v>45848</v>
      </c>
      <c r="M121" s="14" t="s">
        <v>24</v>
      </c>
      <c r="N121" s="26">
        <v>32</v>
      </c>
      <c r="O121" s="29">
        <v>373.56</v>
      </c>
      <c r="P121" s="48">
        <v>375.09</v>
      </c>
      <c r="Q121" s="27">
        <v>9800</v>
      </c>
      <c r="R121" s="27">
        <v>0</v>
      </c>
      <c r="S121" s="27">
        <f t="shared" si="3"/>
        <v>9800</v>
      </c>
      <c r="T121" s="20" t="s">
        <v>24</v>
      </c>
      <c r="U121" s="20" t="s">
        <v>24</v>
      </c>
      <c r="V121" s="39">
        <v>0</v>
      </c>
      <c r="W121" s="22" t="s">
        <v>24</v>
      </c>
      <c r="X121" s="55"/>
      <c r="Y121" s="21" t="s">
        <v>29</v>
      </c>
    </row>
    <row r="122" spans="1:25" s="12" customFormat="1" ht="14.25" customHeight="1" x14ac:dyDescent="0.25">
      <c r="A122" s="49">
        <v>45847</v>
      </c>
      <c r="B122" s="13" t="s">
        <v>24</v>
      </c>
      <c r="C122" s="15" t="s">
        <v>60</v>
      </c>
      <c r="D122" s="23" t="s">
        <v>25</v>
      </c>
      <c r="E122" s="62" t="s">
        <v>165</v>
      </c>
      <c r="F122" s="63" t="s">
        <v>166</v>
      </c>
      <c r="G122" s="63" t="s">
        <v>299</v>
      </c>
      <c r="H122" s="31" t="s">
        <v>26</v>
      </c>
      <c r="I122" s="31" t="s">
        <v>40</v>
      </c>
      <c r="J122" s="14" t="s">
        <v>24</v>
      </c>
      <c r="K122" s="25" t="s">
        <v>41</v>
      </c>
      <c r="L122" s="16">
        <v>45850</v>
      </c>
      <c r="M122" s="14" t="s">
        <v>24</v>
      </c>
      <c r="N122" s="26">
        <v>84</v>
      </c>
      <c r="O122" s="29">
        <v>0</v>
      </c>
      <c r="P122" s="29">
        <v>0</v>
      </c>
      <c r="Q122" s="27">
        <v>0</v>
      </c>
      <c r="R122" s="27">
        <v>0</v>
      </c>
      <c r="S122" s="27">
        <f t="shared" si="3"/>
        <v>0</v>
      </c>
      <c r="T122" s="20" t="s">
        <v>24</v>
      </c>
      <c r="U122" s="20" t="s">
        <v>24</v>
      </c>
      <c r="V122" s="39">
        <v>0</v>
      </c>
      <c r="W122" s="22" t="s">
        <v>24</v>
      </c>
      <c r="X122" s="55"/>
      <c r="Y122" s="21" t="s">
        <v>29</v>
      </c>
    </row>
    <row r="123" spans="1:25" s="12" customFormat="1" ht="14.25" customHeight="1" x14ac:dyDescent="0.25">
      <c r="A123" s="38">
        <v>45849</v>
      </c>
      <c r="B123" s="13">
        <v>45856</v>
      </c>
      <c r="C123" s="15" t="s">
        <v>59</v>
      </c>
      <c r="D123" s="23" t="s">
        <v>25</v>
      </c>
      <c r="E123" s="64" t="s">
        <v>168</v>
      </c>
      <c r="F123" s="65" t="s">
        <v>169</v>
      </c>
      <c r="G123" s="65" t="s">
        <v>300</v>
      </c>
      <c r="H123" s="14" t="s">
        <v>31</v>
      </c>
      <c r="I123" s="15" t="s">
        <v>40</v>
      </c>
      <c r="J123" s="14" t="s">
        <v>24</v>
      </c>
      <c r="K123" s="25" t="s">
        <v>28</v>
      </c>
      <c r="L123" s="16">
        <v>45852</v>
      </c>
      <c r="M123" s="14" t="s">
        <v>24</v>
      </c>
      <c r="N123" s="17">
        <v>72</v>
      </c>
      <c r="O123" s="29">
        <v>60.09</v>
      </c>
      <c r="P123" s="29">
        <v>95.37</v>
      </c>
      <c r="Q123" s="32">
        <v>2850</v>
      </c>
      <c r="R123" s="18">
        <v>0</v>
      </c>
      <c r="S123" s="18">
        <v>2850</v>
      </c>
      <c r="T123" s="20" t="s">
        <v>24</v>
      </c>
      <c r="U123" s="20" t="s">
        <v>24</v>
      </c>
      <c r="V123" s="39">
        <v>0</v>
      </c>
      <c r="W123" s="36" t="s">
        <v>24</v>
      </c>
      <c r="X123" s="55"/>
      <c r="Y123" s="21" t="s">
        <v>29</v>
      </c>
    </row>
    <row r="124" spans="1:25" s="12" customFormat="1" ht="14.25" customHeight="1" x14ac:dyDescent="0.25">
      <c r="A124" s="38">
        <v>45850</v>
      </c>
      <c r="B124" s="13">
        <v>45857</v>
      </c>
      <c r="C124" s="15" t="s">
        <v>60</v>
      </c>
      <c r="D124" s="23" t="s">
        <v>25</v>
      </c>
      <c r="E124" s="62" t="s">
        <v>128</v>
      </c>
      <c r="F124" s="63" t="s">
        <v>129</v>
      </c>
      <c r="G124" s="63" t="s">
        <v>301</v>
      </c>
      <c r="H124" s="14" t="s">
        <v>38</v>
      </c>
      <c r="I124" s="15" t="s">
        <v>40</v>
      </c>
      <c r="J124" s="14" t="s">
        <v>24</v>
      </c>
      <c r="K124" s="25" t="s">
        <v>48</v>
      </c>
      <c r="L124" s="16">
        <v>45853</v>
      </c>
      <c r="M124" s="14" t="s">
        <v>24</v>
      </c>
      <c r="N124" s="26">
        <v>84</v>
      </c>
      <c r="O124" s="29">
        <v>211</v>
      </c>
      <c r="P124" s="35">
        <v>299.3</v>
      </c>
      <c r="Q124" s="35">
        <v>11142.43</v>
      </c>
      <c r="R124" s="35">
        <v>10837.52</v>
      </c>
      <c r="S124" s="27">
        <f t="shared" ref="S124:S179" si="4">Q124-R124</f>
        <v>304.90999999999985</v>
      </c>
      <c r="T124" s="20" t="s">
        <v>24</v>
      </c>
      <c r="U124" s="20" t="s">
        <v>24</v>
      </c>
      <c r="V124" s="39">
        <v>0</v>
      </c>
      <c r="W124" s="22" t="s">
        <v>24</v>
      </c>
      <c r="X124" s="55"/>
      <c r="Y124" s="21" t="s">
        <v>29</v>
      </c>
    </row>
    <row r="125" spans="1:25" s="12" customFormat="1" ht="14.25" customHeight="1" x14ac:dyDescent="0.25">
      <c r="A125" s="38">
        <v>45852</v>
      </c>
      <c r="B125" s="13">
        <v>45859</v>
      </c>
      <c r="C125" s="15" t="s">
        <v>60</v>
      </c>
      <c r="D125" s="23" t="s">
        <v>25</v>
      </c>
      <c r="E125" s="64" t="s">
        <v>302</v>
      </c>
      <c r="F125" s="65" t="s">
        <v>303</v>
      </c>
      <c r="G125" s="65" t="s">
        <v>304</v>
      </c>
      <c r="H125" s="14" t="s">
        <v>31</v>
      </c>
      <c r="I125" s="15" t="s">
        <v>40</v>
      </c>
      <c r="J125" s="14" t="s">
        <v>24</v>
      </c>
      <c r="K125" s="25" t="s">
        <v>50</v>
      </c>
      <c r="L125" s="16">
        <v>45855</v>
      </c>
      <c r="M125" s="14" t="s">
        <v>24</v>
      </c>
      <c r="N125" s="26">
        <v>56</v>
      </c>
      <c r="O125" s="29">
        <v>267.55</v>
      </c>
      <c r="P125" s="35">
        <v>299.3</v>
      </c>
      <c r="Q125" s="35">
        <v>10837.52</v>
      </c>
      <c r="R125" s="27">
        <v>0</v>
      </c>
      <c r="S125" s="27">
        <f t="shared" si="4"/>
        <v>10837.52</v>
      </c>
      <c r="T125" s="20" t="s">
        <v>24</v>
      </c>
      <c r="U125" s="20" t="s">
        <v>24</v>
      </c>
      <c r="V125" s="39">
        <v>0</v>
      </c>
      <c r="W125" s="22">
        <v>45862</v>
      </c>
      <c r="X125" s="55"/>
      <c r="Y125" s="21" t="s">
        <v>29</v>
      </c>
    </row>
    <row r="126" spans="1:25" s="12" customFormat="1" ht="14.25" customHeight="1" x14ac:dyDescent="0.25">
      <c r="A126" s="38">
        <v>45854</v>
      </c>
      <c r="B126" s="13" t="s">
        <v>24</v>
      </c>
      <c r="C126" s="24" t="s">
        <v>36</v>
      </c>
      <c r="D126" s="23" t="s">
        <v>25</v>
      </c>
      <c r="E126" s="62" t="s">
        <v>175</v>
      </c>
      <c r="F126" s="63" t="s">
        <v>176</v>
      </c>
      <c r="G126" s="63" t="s">
        <v>305</v>
      </c>
      <c r="H126" s="14" t="s">
        <v>31</v>
      </c>
      <c r="I126" s="15" t="s">
        <v>40</v>
      </c>
      <c r="J126" s="14" t="s">
        <v>24</v>
      </c>
      <c r="K126" s="25" t="s">
        <v>45</v>
      </c>
      <c r="L126" s="16">
        <v>45857</v>
      </c>
      <c r="M126" s="14" t="s">
        <v>24</v>
      </c>
      <c r="N126" s="26">
        <v>58</v>
      </c>
      <c r="O126" s="29">
        <v>844.71</v>
      </c>
      <c r="P126" s="35">
        <v>993.81</v>
      </c>
      <c r="Q126" s="35">
        <v>0</v>
      </c>
      <c r="R126" s="27">
        <v>0</v>
      </c>
      <c r="S126" s="27">
        <f t="shared" si="4"/>
        <v>0</v>
      </c>
      <c r="T126" s="20" t="s">
        <v>24</v>
      </c>
      <c r="U126" s="20" t="s">
        <v>24</v>
      </c>
      <c r="V126" s="39">
        <v>0</v>
      </c>
      <c r="W126" s="22" t="s">
        <v>24</v>
      </c>
      <c r="X126" s="55"/>
      <c r="Y126" s="21" t="s">
        <v>29</v>
      </c>
    </row>
    <row r="127" spans="1:25" s="43" customFormat="1" ht="14.25" customHeight="1" x14ac:dyDescent="0.25">
      <c r="A127" s="38">
        <v>45855</v>
      </c>
      <c r="B127" s="13" t="s">
        <v>24</v>
      </c>
      <c r="C127" s="15" t="s">
        <v>60</v>
      </c>
      <c r="D127" s="23" t="s">
        <v>25</v>
      </c>
      <c r="E127" s="64" t="s">
        <v>178</v>
      </c>
      <c r="F127" s="65" t="s">
        <v>179</v>
      </c>
      <c r="G127" s="65" t="s">
        <v>306</v>
      </c>
      <c r="H127" s="14" t="s">
        <v>38</v>
      </c>
      <c r="I127" s="31" t="s">
        <v>39</v>
      </c>
      <c r="J127" s="14" t="s">
        <v>24</v>
      </c>
      <c r="K127" s="25" t="s">
        <v>28</v>
      </c>
      <c r="L127" s="38">
        <v>45858</v>
      </c>
      <c r="M127" s="14" t="s">
        <v>24</v>
      </c>
      <c r="N127" s="26">
        <v>84</v>
      </c>
      <c r="O127" s="29">
        <v>201</v>
      </c>
      <c r="P127" s="48">
        <v>375.09</v>
      </c>
      <c r="Q127" s="18">
        <v>0</v>
      </c>
      <c r="R127" s="27">
        <v>0</v>
      </c>
      <c r="S127" s="40">
        <f t="shared" si="4"/>
        <v>0</v>
      </c>
      <c r="T127" s="20" t="s">
        <v>24</v>
      </c>
      <c r="U127" s="20" t="s">
        <v>24</v>
      </c>
      <c r="V127" s="39">
        <v>0</v>
      </c>
      <c r="W127" s="22" t="s">
        <v>24</v>
      </c>
      <c r="X127" s="55"/>
      <c r="Y127" s="21" t="s">
        <v>29</v>
      </c>
    </row>
    <row r="128" spans="1:25" s="43" customFormat="1" ht="14.25" customHeight="1" x14ac:dyDescent="0.25">
      <c r="A128" s="38">
        <v>45857</v>
      </c>
      <c r="B128" s="13" t="s">
        <v>24</v>
      </c>
      <c r="C128" s="15" t="s">
        <v>60</v>
      </c>
      <c r="D128" s="23" t="s">
        <v>25</v>
      </c>
      <c r="E128" s="62" t="s">
        <v>181</v>
      </c>
      <c r="F128" s="63" t="s">
        <v>182</v>
      </c>
      <c r="G128" s="63" t="s">
        <v>307</v>
      </c>
      <c r="H128" s="14" t="s">
        <v>31</v>
      </c>
      <c r="I128" s="31" t="s">
        <v>39</v>
      </c>
      <c r="J128" s="14" t="s">
        <v>24</v>
      </c>
      <c r="K128" s="25" t="s">
        <v>28</v>
      </c>
      <c r="L128" s="38">
        <v>45860</v>
      </c>
      <c r="M128" s="14" t="s">
        <v>24</v>
      </c>
      <c r="N128" s="26">
        <v>32</v>
      </c>
      <c r="O128" s="29">
        <v>372.45</v>
      </c>
      <c r="P128" s="48">
        <v>375.09</v>
      </c>
      <c r="Q128" s="27">
        <v>0</v>
      </c>
      <c r="R128" s="27">
        <v>0</v>
      </c>
      <c r="S128" s="40">
        <f t="shared" si="4"/>
        <v>0</v>
      </c>
      <c r="T128" s="20" t="s">
        <v>24</v>
      </c>
      <c r="U128" s="20" t="s">
        <v>24</v>
      </c>
      <c r="V128" s="39">
        <v>0</v>
      </c>
      <c r="W128" s="22" t="s">
        <v>24</v>
      </c>
      <c r="X128" s="55"/>
      <c r="Y128" s="21" t="s">
        <v>29</v>
      </c>
    </row>
    <row r="129" spans="1:25" s="12" customFormat="1" ht="14.25" customHeight="1" x14ac:dyDescent="0.25">
      <c r="A129" s="38">
        <v>45859</v>
      </c>
      <c r="B129" s="13" t="s">
        <v>24</v>
      </c>
      <c r="C129" s="15" t="s">
        <v>60</v>
      </c>
      <c r="D129" s="23" t="s">
        <v>25</v>
      </c>
      <c r="E129" s="64" t="s">
        <v>184</v>
      </c>
      <c r="F129" s="65" t="s">
        <v>185</v>
      </c>
      <c r="G129" s="65" t="s">
        <v>308</v>
      </c>
      <c r="H129" s="31" t="s">
        <v>26</v>
      </c>
      <c r="I129" s="31" t="s">
        <v>39</v>
      </c>
      <c r="J129" s="14" t="s">
        <v>24</v>
      </c>
      <c r="K129" s="25" t="s">
        <v>28</v>
      </c>
      <c r="L129" s="38">
        <v>45862</v>
      </c>
      <c r="M129" s="14" t="s">
        <v>24</v>
      </c>
      <c r="N129" s="26">
        <v>84</v>
      </c>
      <c r="O129" s="29">
        <v>0</v>
      </c>
      <c r="P129" s="29">
        <v>171.4</v>
      </c>
      <c r="Q129" s="27">
        <v>0</v>
      </c>
      <c r="R129" s="27">
        <v>0</v>
      </c>
      <c r="S129" s="40">
        <f t="shared" si="4"/>
        <v>0</v>
      </c>
      <c r="T129" s="20" t="s">
        <v>24</v>
      </c>
      <c r="U129" s="20" t="s">
        <v>24</v>
      </c>
      <c r="V129" s="39">
        <v>0</v>
      </c>
      <c r="W129" s="22" t="s">
        <v>24</v>
      </c>
      <c r="X129" s="55"/>
      <c r="Y129" s="21" t="s">
        <v>29</v>
      </c>
    </row>
    <row r="130" spans="1:25" s="12" customFormat="1" ht="14.25" customHeight="1" x14ac:dyDescent="0.25">
      <c r="A130" s="38">
        <v>45860</v>
      </c>
      <c r="B130" s="13">
        <v>45867</v>
      </c>
      <c r="C130" s="15" t="s">
        <v>59</v>
      </c>
      <c r="D130" s="23" t="s">
        <v>25</v>
      </c>
      <c r="E130" s="62" t="s">
        <v>72</v>
      </c>
      <c r="F130" s="63" t="s">
        <v>73</v>
      </c>
      <c r="G130" s="63" t="s">
        <v>309</v>
      </c>
      <c r="H130" s="14" t="s">
        <v>38</v>
      </c>
      <c r="I130" s="15" t="s">
        <v>40</v>
      </c>
      <c r="J130" s="14" t="s">
        <v>24</v>
      </c>
      <c r="K130" s="25" t="s">
        <v>28</v>
      </c>
      <c r="L130" s="16">
        <v>45863</v>
      </c>
      <c r="M130" s="14" t="s">
        <v>24</v>
      </c>
      <c r="N130" s="26">
        <v>84</v>
      </c>
      <c r="O130" s="29">
        <v>94.5</v>
      </c>
      <c r="P130" s="29">
        <v>120.25</v>
      </c>
      <c r="Q130" s="18">
        <v>0</v>
      </c>
      <c r="R130" s="27">
        <v>4436.3100000000004</v>
      </c>
      <c r="S130" s="27">
        <f t="shared" si="4"/>
        <v>-4436.3100000000004</v>
      </c>
      <c r="T130" s="20" t="s">
        <v>24</v>
      </c>
      <c r="U130" s="20" t="s">
        <v>24</v>
      </c>
      <c r="V130" s="39">
        <v>0</v>
      </c>
      <c r="W130" s="22" t="s">
        <v>24</v>
      </c>
      <c r="X130" s="55"/>
      <c r="Y130" s="21"/>
    </row>
    <row r="131" spans="1:25" s="12" customFormat="1" ht="14.25" customHeight="1" x14ac:dyDescent="0.25">
      <c r="A131" s="38">
        <v>45862</v>
      </c>
      <c r="B131" s="13">
        <v>45869</v>
      </c>
      <c r="C131" s="15" t="s">
        <v>59</v>
      </c>
      <c r="D131" s="23" t="s">
        <v>25</v>
      </c>
      <c r="E131" s="64" t="s">
        <v>188</v>
      </c>
      <c r="F131" s="65" t="s">
        <v>189</v>
      </c>
      <c r="G131" s="65" t="s">
        <v>310</v>
      </c>
      <c r="H131" s="14" t="s">
        <v>31</v>
      </c>
      <c r="I131" s="15" t="s">
        <v>40</v>
      </c>
      <c r="J131" s="14" t="s">
        <v>24</v>
      </c>
      <c r="K131" s="25" t="s">
        <v>28</v>
      </c>
      <c r="L131" s="16">
        <v>45865</v>
      </c>
      <c r="M131" s="14" t="s">
        <v>24</v>
      </c>
      <c r="N131" s="26">
        <v>60</v>
      </c>
      <c r="O131" s="29">
        <v>109.12</v>
      </c>
      <c r="P131" s="29">
        <v>120.25</v>
      </c>
      <c r="Q131" s="32">
        <v>4436.3100000000004</v>
      </c>
      <c r="R131" s="27">
        <v>0</v>
      </c>
      <c r="S131" s="27">
        <f t="shared" si="4"/>
        <v>4436.3100000000004</v>
      </c>
      <c r="T131" s="20" t="s">
        <v>24</v>
      </c>
      <c r="U131" s="20" t="s">
        <v>24</v>
      </c>
      <c r="V131" s="39">
        <v>0</v>
      </c>
      <c r="W131" s="22" t="s">
        <v>24</v>
      </c>
      <c r="X131" s="55"/>
      <c r="Y131" s="21" t="s">
        <v>29</v>
      </c>
    </row>
    <row r="132" spans="1:25" s="12" customFormat="1" ht="14.25" customHeight="1" x14ac:dyDescent="0.25">
      <c r="A132" s="38">
        <v>45864</v>
      </c>
      <c r="B132" s="13">
        <v>45871</v>
      </c>
      <c r="C132" s="15" t="s">
        <v>59</v>
      </c>
      <c r="D132" s="23" t="s">
        <v>25</v>
      </c>
      <c r="E132" s="62" t="s">
        <v>135</v>
      </c>
      <c r="F132" s="63" t="s">
        <v>136</v>
      </c>
      <c r="G132" s="63" t="s">
        <v>311</v>
      </c>
      <c r="H132" s="14" t="s">
        <v>38</v>
      </c>
      <c r="I132" s="15" t="s">
        <v>40</v>
      </c>
      <c r="J132" s="14" t="s">
        <v>24</v>
      </c>
      <c r="K132" s="25" t="s">
        <v>28</v>
      </c>
      <c r="L132" s="16">
        <v>45867</v>
      </c>
      <c r="M132" s="14" t="s">
        <v>24</v>
      </c>
      <c r="N132" s="26">
        <v>84</v>
      </c>
      <c r="O132" s="29">
        <v>97</v>
      </c>
      <c r="P132" s="29">
        <v>123.79</v>
      </c>
      <c r="Q132" s="18">
        <v>0</v>
      </c>
      <c r="R132" s="27">
        <v>4566.96</v>
      </c>
      <c r="S132" s="27">
        <f t="shared" si="4"/>
        <v>-4566.96</v>
      </c>
      <c r="T132" s="20" t="s">
        <v>24</v>
      </c>
      <c r="U132" s="20" t="s">
        <v>24</v>
      </c>
      <c r="V132" s="39">
        <v>0</v>
      </c>
      <c r="W132" s="22" t="s">
        <v>24</v>
      </c>
      <c r="X132" s="55"/>
      <c r="Y132" s="21"/>
    </row>
    <row r="133" spans="1:25" s="12" customFormat="1" ht="14.25" customHeight="1" x14ac:dyDescent="0.25">
      <c r="A133" s="38">
        <v>45865</v>
      </c>
      <c r="B133" s="13">
        <v>45872</v>
      </c>
      <c r="C133" s="15" t="s">
        <v>59</v>
      </c>
      <c r="D133" s="23" t="s">
        <v>25</v>
      </c>
      <c r="E133" s="64" t="s">
        <v>193</v>
      </c>
      <c r="F133" s="65" t="s">
        <v>67</v>
      </c>
      <c r="G133" s="65" t="s">
        <v>312</v>
      </c>
      <c r="H133" s="14" t="s">
        <v>31</v>
      </c>
      <c r="I133" s="15" t="s">
        <v>40</v>
      </c>
      <c r="J133" s="14" t="s">
        <v>24</v>
      </c>
      <c r="K133" s="25" t="s">
        <v>28</v>
      </c>
      <c r="L133" s="16">
        <v>45868</v>
      </c>
      <c r="M133" s="14" t="s">
        <v>24</v>
      </c>
      <c r="N133" s="26">
        <v>60</v>
      </c>
      <c r="O133" s="29">
        <v>112.34</v>
      </c>
      <c r="P133" s="29">
        <v>123.79</v>
      </c>
      <c r="Q133" s="32">
        <v>4566.96</v>
      </c>
      <c r="R133" s="27">
        <v>0</v>
      </c>
      <c r="S133" s="27">
        <f t="shared" si="4"/>
        <v>4566.96</v>
      </c>
      <c r="T133" s="20" t="s">
        <v>24</v>
      </c>
      <c r="U133" s="20" t="s">
        <v>24</v>
      </c>
      <c r="V133" s="39">
        <v>0</v>
      </c>
      <c r="W133" s="22" t="s">
        <v>24</v>
      </c>
      <c r="X133" s="55"/>
      <c r="Y133" s="21" t="s">
        <v>29</v>
      </c>
    </row>
    <row r="134" spans="1:25" s="12" customFormat="1" ht="14.25" customHeight="1" x14ac:dyDescent="0.25">
      <c r="A134" s="38">
        <v>45867</v>
      </c>
      <c r="B134" s="13">
        <v>45874</v>
      </c>
      <c r="C134" s="15" t="s">
        <v>59</v>
      </c>
      <c r="D134" s="23" t="s">
        <v>25</v>
      </c>
      <c r="E134" s="62" t="s">
        <v>87</v>
      </c>
      <c r="F134" s="63" t="s">
        <v>88</v>
      </c>
      <c r="G134" s="63" t="s">
        <v>313</v>
      </c>
      <c r="H134" s="14" t="s">
        <v>38</v>
      </c>
      <c r="I134" s="15" t="s">
        <v>40</v>
      </c>
      <c r="J134" s="14" t="s">
        <v>24</v>
      </c>
      <c r="K134" s="25" t="s">
        <v>28</v>
      </c>
      <c r="L134" s="16">
        <v>45870</v>
      </c>
      <c r="M134" s="14" t="s">
        <v>24</v>
      </c>
      <c r="N134" s="26">
        <v>84</v>
      </c>
      <c r="O134" s="29">
        <v>64</v>
      </c>
      <c r="P134" s="29">
        <v>85.5</v>
      </c>
      <c r="Q134" s="18">
        <v>0</v>
      </c>
      <c r="R134" s="27">
        <v>2930.04</v>
      </c>
      <c r="S134" s="27">
        <f t="shared" si="4"/>
        <v>-2930.04</v>
      </c>
      <c r="T134" s="20" t="s">
        <v>24</v>
      </c>
      <c r="U134" s="20" t="s">
        <v>24</v>
      </c>
      <c r="V134" s="39">
        <v>0</v>
      </c>
      <c r="W134" s="22" t="s">
        <v>24</v>
      </c>
      <c r="X134" s="55"/>
      <c r="Y134" s="21"/>
    </row>
    <row r="135" spans="1:25" s="12" customFormat="1" ht="14.25" customHeight="1" x14ac:dyDescent="0.25">
      <c r="A135" s="38">
        <v>45869</v>
      </c>
      <c r="B135" s="13">
        <v>45876</v>
      </c>
      <c r="C135" s="15" t="s">
        <v>59</v>
      </c>
      <c r="D135" s="23" t="s">
        <v>25</v>
      </c>
      <c r="E135" s="64" t="s">
        <v>196</v>
      </c>
      <c r="F135" s="65" t="s">
        <v>73</v>
      </c>
      <c r="G135" s="65" t="s">
        <v>314</v>
      </c>
      <c r="H135" s="14" t="s">
        <v>31</v>
      </c>
      <c r="I135" s="15" t="s">
        <v>40</v>
      </c>
      <c r="J135" s="14" t="s">
        <v>24</v>
      </c>
      <c r="K135" s="25" t="s">
        <v>28</v>
      </c>
      <c r="L135" s="16">
        <v>45872</v>
      </c>
      <c r="M135" s="14" t="s">
        <v>24</v>
      </c>
      <c r="N135" s="26">
        <v>60</v>
      </c>
      <c r="O135" s="29">
        <v>72.069999999999993</v>
      </c>
      <c r="P135" s="29">
        <v>85.5</v>
      </c>
      <c r="Q135" s="32">
        <v>2930.04</v>
      </c>
      <c r="R135" s="27">
        <v>0</v>
      </c>
      <c r="S135" s="27">
        <f t="shared" si="4"/>
        <v>2930.04</v>
      </c>
      <c r="T135" s="20" t="s">
        <v>24</v>
      </c>
      <c r="U135" s="20" t="s">
        <v>24</v>
      </c>
      <c r="V135" s="39">
        <v>0</v>
      </c>
      <c r="W135" s="22" t="s">
        <v>24</v>
      </c>
      <c r="X135" s="55"/>
      <c r="Y135" s="21" t="s">
        <v>29</v>
      </c>
    </row>
    <row r="136" spans="1:25" s="12" customFormat="1" ht="14.25" customHeight="1" x14ac:dyDescent="0.25">
      <c r="A136" s="38">
        <v>45870</v>
      </c>
      <c r="B136" s="13">
        <v>45877</v>
      </c>
      <c r="C136" s="15" t="s">
        <v>59</v>
      </c>
      <c r="D136" s="23" t="s">
        <v>25</v>
      </c>
      <c r="E136" s="62" t="s">
        <v>198</v>
      </c>
      <c r="F136" s="63" t="s">
        <v>76</v>
      </c>
      <c r="G136" s="63" t="s">
        <v>315</v>
      </c>
      <c r="H136" s="14" t="s">
        <v>38</v>
      </c>
      <c r="I136" s="15" t="s">
        <v>40</v>
      </c>
      <c r="J136" s="14" t="s">
        <v>24</v>
      </c>
      <c r="K136" s="25" t="s">
        <v>28</v>
      </c>
      <c r="L136" s="16">
        <v>45873</v>
      </c>
      <c r="M136" s="14" t="s">
        <v>24</v>
      </c>
      <c r="N136" s="26">
        <v>84</v>
      </c>
      <c r="O136" s="29">
        <v>32.5</v>
      </c>
      <c r="P136" s="29">
        <v>39.1</v>
      </c>
      <c r="Q136" s="18">
        <v>0</v>
      </c>
      <c r="R136" s="27">
        <v>1339.95</v>
      </c>
      <c r="S136" s="27">
        <f t="shared" si="4"/>
        <v>-1339.95</v>
      </c>
      <c r="T136" s="20" t="s">
        <v>24</v>
      </c>
      <c r="U136" s="20" t="s">
        <v>24</v>
      </c>
      <c r="V136" s="39">
        <v>0</v>
      </c>
      <c r="W136" s="22" t="s">
        <v>24</v>
      </c>
      <c r="X136" s="55"/>
      <c r="Y136" s="21"/>
    </row>
    <row r="137" spans="1:25" s="12" customFormat="1" ht="14.25" customHeight="1" x14ac:dyDescent="0.25">
      <c r="A137" s="38">
        <v>45872</v>
      </c>
      <c r="B137" s="13">
        <v>45879</v>
      </c>
      <c r="C137" s="15" t="s">
        <v>59</v>
      </c>
      <c r="D137" s="23" t="s">
        <v>25</v>
      </c>
      <c r="E137" s="64" t="s">
        <v>316</v>
      </c>
      <c r="F137" s="65" t="s">
        <v>79</v>
      </c>
      <c r="G137" s="65" t="s">
        <v>317</v>
      </c>
      <c r="H137" s="14" t="s">
        <v>31</v>
      </c>
      <c r="I137" s="15" t="s">
        <v>40</v>
      </c>
      <c r="J137" s="14" t="s">
        <v>24</v>
      </c>
      <c r="K137" s="25" t="s">
        <v>28</v>
      </c>
      <c r="L137" s="16">
        <v>45875</v>
      </c>
      <c r="M137" s="14" t="s">
        <v>24</v>
      </c>
      <c r="N137" s="26">
        <v>60</v>
      </c>
      <c r="O137" s="29">
        <v>32.96</v>
      </c>
      <c r="P137" s="29">
        <v>39.1</v>
      </c>
      <c r="Q137" s="32">
        <v>1339.95</v>
      </c>
      <c r="R137" s="27">
        <v>0</v>
      </c>
      <c r="S137" s="27">
        <f t="shared" si="4"/>
        <v>1339.95</v>
      </c>
      <c r="T137" s="20" t="s">
        <v>24</v>
      </c>
      <c r="U137" s="20" t="s">
        <v>24</v>
      </c>
      <c r="V137" s="39">
        <v>0</v>
      </c>
      <c r="W137" s="22" t="s">
        <v>24</v>
      </c>
      <c r="X137" s="55"/>
      <c r="Y137" s="21" t="s">
        <v>29</v>
      </c>
    </row>
    <row r="138" spans="1:25" s="12" customFormat="1" ht="14.25" customHeight="1" x14ac:dyDescent="0.25">
      <c r="A138" s="38">
        <v>45874</v>
      </c>
      <c r="B138" s="13">
        <v>45881</v>
      </c>
      <c r="C138" s="15" t="s">
        <v>59</v>
      </c>
      <c r="D138" s="23" t="s">
        <v>25</v>
      </c>
      <c r="E138" s="62" t="s">
        <v>201</v>
      </c>
      <c r="F138" s="63" t="s">
        <v>82</v>
      </c>
      <c r="G138" s="63" t="s">
        <v>318</v>
      </c>
      <c r="H138" s="14" t="s">
        <v>38</v>
      </c>
      <c r="I138" s="15" t="s">
        <v>40</v>
      </c>
      <c r="J138" s="14" t="s">
        <v>24</v>
      </c>
      <c r="K138" s="25" t="s">
        <v>28</v>
      </c>
      <c r="L138" s="16">
        <v>45877</v>
      </c>
      <c r="M138" s="14" t="s">
        <v>24</v>
      </c>
      <c r="N138" s="26">
        <v>84</v>
      </c>
      <c r="O138" s="29">
        <v>58</v>
      </c>
      <c r="P138" s="29">
        <v>87.94</v>
      </c>
      <c r="Q138" s="18">
        <v>0</v>
      </c>
      <c r="R138" s="27">
        <v>2609.09</v>
      </c>
      <c r="S138" s="27">
        <f t="shared" si="4"/>
        <v>-2609.09</v>
      </c>
      <c r="T138" s="20" t="s">
        <v>24</v>
      </c>
      <c r="U138" s="20" t="s">
        <v>24</v>
      </c>
      <c r="V138" s="39">
        <v>0</v>
      </c>
      <c r="W138" s="22" t="s">
        <v>24</v>
      </c>
      <c r="X138" s="55"/>
      <c r="Y138" s="21"/>
    </row>
    <row r="139" spans="1:25" s="12" customFormat="1" ht="14.25" customHeight="1" x14ac:dyDescent="0.25">
      <c r="A139" s="38">
        <v>45875</v>
      </c>
      <c r="B139" s="13">
        <v>45882</v>
      </c>
      <c r="C139" s="15" t="s">
        <v>59</v>
      </c>
      <c r="D139" s="23" t="s">
        <v>25</v>
      </c>
      <c r="E139" s="64" t="s">
        <v>203</v>
      </c>
      <c r="F139" s="65" t="s">
        <v>85</v>
      </c>
      <c r="G139" s="65" t="s">
        <v>319</v>
      </c>
      <c r="H139" s="14" t="s">
        <v>31</v>
      </c>
      <c r="I139" s="15" t="s">
        <v>40</v>
      </c>
      <c r="J139" s="14" t="s">
        <v>24</v>
      </c>
      <c r="K139" s="25" t="s">
        <v>28</v>
      </c>
      <c r="L139" s="16">
        <v>45878</v>
      </c>
      <c r="M139" s="14" t="s">
        <v>24</v>
      </c>
      <c r="N139" s="26">
        <v>60</v>
      </c>
      <c r="O139" s="29">
        <v>64.180000000000007</v>
      </c>
      <c r="P139" s="29">
        <v>87.94</v>
      </c>
      <c r="Q139" s="32">
        <v>2609.09</v>
      </c>
      <c r="R139" s="27">
        <v>0</v>
      </c>
      <c r="S139" s="27">
        <f t="shared" si="4"/>
        <v>2609.09</v>
      </c>
      <c r="T139" s="20" t="s">
        <v>24</v>
      </c>
      <c r="U139" s="20" t="s">
        <v>24</v>
      </c>
      <c r="V139" s="39">
        <v>0</v>
      </c>
      <c r="W139" s="22" t="s">
        <v>24</v>
      </c>
      <c r="X139" s="55"/>
      <c r="Y139" s="21" t="s">
        <v>29</v>
      </c>
    </row>
    <row r="140" spans="1:25" s="12" customFormat="1" ht="14.25" customHeight="1" x14ac:dyDescent="0.25">
      <c r="A140" s="38">
        <v>45877</v>
      </c>
      <c r="B140" s="13" t="s">
        <v>24</v>
      </c>
      <c r="C140" s="15" t="s">
        <v>59</v>
      </c>
      <c r="D140" s="23" t="s">
        <v>25</v>
      </c>
      <c r="E140" s="62" t="s">
        <v>119</v>
      </c>
      <c r="F140" s="63" t="s">
        <v>120</v>
      </c>
      <c r="G140" s="63" t="s">
        <v>320</v>
      </c>
      <c r="H140" s="14" t="s">
        <v>30</v>
      </c>
      <c r="I140" s="15" t="s">
        <v>40</v>
      </c>
      <c r="J140" s="14" t="s">
        <v>24</v>
      </c>
      <c r="K140" s="25" t="s">
        <v>28</v>
      </c>
      <c r="L140" s="16">
        <v>45880</v>
      </c>
      <c r="M140" s="14" t="s">
        <v>24</v>
      </c>
      <c r="N140" s="26">
        <v>84</v>
      </c>
      <c r="O140" s="29">
        <v>896</v>
      </c>
      <c r="P140" s="29">
        <v>1000</v>
      </c>
      <c r="Q140" s="32">
        <v>0</v>
      </c>
      <c r="R140" s="27">
        <v>0</v>
      </c>
      <c r="S140" s="40">
        <f t="shared" si="4"/>
        <v>0</v>
      </c>
      <c r="T140" s="20" t="s">
        <v>24</v>
      </c>
      <c r="U140" s="20" t="s">
        <v>24</v>
      </c>
      <c r="V140" s="39">
        <v>0</v>
      </c>
      <c r="W140" s="36" t="s">
        <v>24</v>
      </c>
      <c r="X140" s="55"/>
      <c r="Y140" s="21" t="s">
        <v>29</v>
      </c>
    </row>
    <row r="141" spans="1:25" s="12" customFormat="1" ht="14.25" customHeight="1" x14ac:dyDescent="0.25">
      <c r="A141" s="38">
        <v>45879</v>
      </c>
      <c r="B141" s="13">
        <v>45886</v>
      </c>
      <c r="C141" s="15" t="s">
        <v>59</v>
      </c>
      <c r="D141" s="23" t="s">
        <v>25</v>
      </c>
      <c r="E141" s="64" t="s">
        <v>207</v>
      </c>
      <c r="F141" s="65" t="s">
        <v>91</v>
      </c>
      <c r="G141" s="65" t="s">
        <v>321</v>
      </c>
      <c r="H141" s="14" t="s">
        <v>38</v>
      </c>
      <c r="I141" s="15" t="s">
        <v>40</v>
      </c>
      <c r="J141" s="14" t="s">
        <v>24</v>
      </c>
      <c r="K141" s="25" t="s">
        <v>48</v>
      </c>
      <c r="L141" s="16">
        <v>45882</v>
      </c>
      <c r="M141" s="14" t="s">
        <v>24</v>
      </c>
      <c r="N141" s="26">
        <v>84</v>
      </c>
      <c r="O141" s="29">
        <v>170</v>
      </c>
      <c r="P141" s="29">
        <v>286.2</v>
      </c>
      <c r="Q141" s="27">
        <v>8504.6299999999992</v>
      </c>
      <c r="R141" s="27">
        <v>8183.52</v>
      </c>
      <c r="S141" s="27">
        <f t="shared" si="4"/>
        <v>321.10999999999876</v>
      </c>
      <c r="T141" s="20" t="s">
        <v>24</v>
      </c>
      <c r="U141" s="20" t="s">
        <v>24</v>
      </c>
      <c r="V141" s="39">
        <v>0</v>
      </c>
      <c r="W141" s="22" t="s">
        <v>24</v>
      </c>
      <c r="X141" s="55"/>
      <c r="Y141" s="21" t="s">
        <v>29</v>
      </c>
    </row>
    <row r="142" spans="1:25" s="12" customFormat="1" ht="14.25" customHeight="1" x14ac:dyDescent="0.25">
      <c r="A142" s="38">
        <v>45880</v>
      </c>
      <c r="B142" s="13">
        <v>45887</v>
      </c>
      <c r="C142" s="15" t="s">
        <v>59</v>
      </c>
      <c r="D142" s="23" t="s">
        <v>25</v>
      </c>
      <c r="E142" s="62" t="s">
        <v>135</v>
      </c>
      <c r="F142" s="63" t="s">
        <v>136</v>
      </c>
      <c r="G142" s="63" t="s">
        <v>322</v>
      </c>
      <c r="H142" s="14" t="s">
        <v>31</v>
      </c>
      <c r="I142" s="15" t="s">
        <v>40</v>
      </c>
      <c r="J142" s="14" t="s">
        <v>24</v>
      </c>
      <c r="K142" s="25" t="s">
        <v>50</v>
      </c>
      <c r="L142" s="16">
        <v>45883</v>
      </c>
      <c r="M142" s="14" t="s">
        <v>24</v>
      </c>
      <c r="N142" s="26">
        <v>43</v>
      </c>
      <c r="O142" s="29">
        <v>253.53</v>
      </c>
      <c r="P142" s="29">
        <v>286.2</v>
      </c>
      <c r="Q142" s="27">
        <v>8183.52</v>
      </c>
      <c r="R142" s="27">
        <v>0</v>
      </c>
      <c r="S142" s="27">
        <f t="shared" si="4"/>
        <v>8183.52</v>
      </c>
      <c r="T142" s="20" t="s">
        <v>24</v>
      </c>
      <c r="U142" s="20" t="s">
        <v>24</v>
      </c>
      <c r="V142" s="39">
        <v>0</v>
      </c>
      <c r="W142" s="22">
        <v>45890</v>
      </c>
      <c r="X142" s="55"/>
      <c r="Y142" s="21" t="s">
        <v>29</v>
      </c>
    </row>
    <row r="143" spans="1:25" s="12" customFormat="1" ht="14.25" customHeight="1" x14ac:dyDescent="0.25">
      <c r="A143" s="38">
        <v>45882</v>
      </c>
      <c r="B143" s="13" t="s">
        <v>24</v>
      </c>
      <c r="C143" s="15" t="s">
        <v>59</v>
      </c>
      <c r="D143" s="23" t="s">
        <v>25</v>
      </c>
      <c r="E143" s="64" t="s">
        <v>211</v>
      </c>
      <c r="F143" s="65" t="s">
        <v>70</v>
      </c>
      <c r="G143" s="65" t="s">
        <v>323</v>
      </c>
      <c r="H143" s="24" t="s">
        <v>38</v>
      </c>
      <c r="I143" s="31" t="s">
        <v>40</v>
      </c>
      <c r="J143" s="14" t="s">
        <v>24</v>
      </c>
      <c r="K143" s="25" t="s">
        <v>48</v>
      </c>
      <c r="L143" s="16">
        <v>45885</v>
      </c>
      <c r="M143" s="14" t="s">
        <v>24</v>
      </c>
      <c r="N143" s="26">
        <v>84</v>
      </c>
      <c r="O143" s="29">
        <v>52.2</v>
      </c>
      <c r="P143" s="29">
        <v>79.56</v>
      </c>
      <c r="Q143" s="27">
        <v>2732.63</v>
      </c>
      <c r="R143" s="27">
        <v>2482.63</v>
      </c>
      <c r="S143" s="27">
        <f t="shared" si="4"/>
        <v>250</v>
      </c>
      <c r="T143" s="20" t="s">
        <v>24</v>
      </c>
      <c r="U143" s="20" t="s">
        <v>24</v>
      </c>
      <c r="V143" s="39">
        <v>0</v>
      </c>
      <c r="W143" s="22" t="s">
        <v>24</v>
      </c>
      <c r="X143" s="55"/>
      <c r="Y143" s="21"/>
    </row>
    <row r="144" spans="1:25" s="12" customFormat="1" ht="14.25" customHeight="1" x14ac:dyDescent="0.25">
      <c r="A144" s="38">
        <v>45884</v>
      </c>
      <c r="B144" s="13" t="s">
        <v>24</v>
      </c>
      <c r="C144" s="15" t="s">
        <v>59</v>
      </c>
      <c r="D144" s="23" t="s">
        <v>25</v>
      </c>
      <c r="E144" s="62" t="s">
        <v>99</v>
      </c>
      <c r="F144" s="63" t="s">
        <v>100</v>
      </c>
      <c r="G144" s="63" t="s">
        <v>324</v>
      </c>
      <c r="H144" s="14" t="s">
        <v>31</v>
      </c>
      <c r="I144" s="31" t="s">
        <v>40</v>
      </c>
      <c r="J144" s="14" t="s">
        <v>24</v>
      </c>
      <c r="K144" s="25" t="s">
        <v>49</v>
      </c>
      <c r="L144" s="16">
        <v>45887</v>
      </c>
      <c r="M144" s="14" t="s">
        <v>24</v>
      </c>
      <c r="N144" s="26">
        <v>45</v>
      </c>
      <c r="O144" s="29">
        <v>72.16</v>
      </c>
      <c r="P144" s="29">
        <v>79.56</v>
      </c>
      <c r="Q144" s="27">
        <v>2482.63</v>
      </c>
      <c r="R144" s="27">
        <v>0</v>
      </c>
      <c r="S144" s="27">
        <f t="shared" si="4"/>
        <v>2482.63</v>
      </c>
      <c r="T144" s="20" t="s">
        <v>24</v>
      </c>
      <c r="U144" s="20" t="s">
        <v>24</v>
      </c>
      <c r="V144" s="39">
        <v>0</v>
      </c>
      <c r="W144" s="22" t="s">
        <v>24</v>
      </c>
      <c r="X144" s="55"/>
      <c r="Y144" s="21" t="s">
        <v>29</v>
      </c>
    </row>
    <row r="145" spans="1:25" s="12" customFormat="1" ht="14.25" customHeight="1" x14ac:dyDescent="0.25">
      <c r="A145" s="38">
        <v>45885</v>
      </c>
      <c r="B145" s="13" t="s">
        <v>24</v>
      </c>
      <c r="C145" s="15" t="s">
        <v>59</v>
      </c>
      <c r="D145" s="23" t="s">
        <v>25</v>
      </c>
      <c r="E145" s="64" t="s">
        <v>215</v>
      </c>
      <c r="F145" s="65" t="s">
        <v>97</v>
      </c>
      <c r="G145" s="65" t="s">
        <v>325</v>
      </c>
      <c r="H145" s="24" t="s">
        <v>38</v>
      </c>
      <c r="I145" s="31" t="s">
        <v>40</v>
      </c>
      <c r="J145" s="14" t="s">
        <v>24</v>
      </c>
      <c r="K145" s="25" t="s">
        <v>45</v>
      </c>
      <c r="L145" s="16">
        <v>45888</v>
      </c>
      <c r="M145" s="14" t="s">
        <v>24</v>
      </c>
      <c r="N145" s="26">
        <v>84</v>
      </c>
      <c r="O145" s="29">
        <v>121.5</v>
      </c>
      <c r="P145" s="29">
        <v>166.3</v>
      </c>
      <c r="Q145" s="50">
        <v>6377.11</v>
      </c>
      <c r="R145" s="50">
        <v>6127.11</v>
      </c>
      <c r="S145" s="27">
        <f t="shared" si="4"/>
        <v>250</v>
      </c>
      <c r="T145" s="20" t="s">
        <v>24</v>
      </c>
      <c r="U145" s="20" t="s">
        <v>24</v>
      </c>
      <c r="V145" s="39">
        <v>0</v>
      </c>
      <c r="W145" s="22" t="s">
        <v>24</v>
      </c>
      <c r="X145" s="55"/>
      <c r="Y145" s="21"/>
    </row>
    <row r="146" spans="1:25" s="12" customFormat="1" ht="14.25" customHeight="1" x14ac:dyDescent="0.25">
      <c r="A146" s="38">
        <v>45887</v>
      </c>
      <c r="B146" s="13" t="s">
        <v>24</v>
      </c>
      <c r="C146" s="15" t="s">
        <v>59</v>
      </c>
      <c r="D146" s="23" t="s">
        <v>25</v>
      </c>
      <c r="E146" s="62" t="s">
        <v>217</v>
      </c>
      <c r="F146" s="63" t="s">
        <v>218</v>
      </c>
      <c r="G146" s="63" t="s">
        <v>326</v>
      </c>
      <c r="H146" s="14" t="s">
        <v>31</v>
      </c>
      <c r="I146" s="31" t="s">
        <v>40</v>
      </c>
      <c r="J146" s="14" t="s">
        <v>24</v>
      </c>
      <c r="K146" s="25" t="s">
        <v>45</v>
      </c>
      <c r="L146" s="16">
        <v>45890</v>
      </c>
      <c r="M146" s="14" t="s">
        <v>24</v>
      </c>
      <c r="N146" s="26">
        <v>57</v>
      </c>
      <c r="O146" s="29">
        <v>149.72</v>
      </c>
      <c r="P146" s="29">
        <v>166.3</v>
      </c>
      <c r="Q146" s="50">
        <v>6127.11</v>
      </c>
      <c r="R146" s="27">
        <v>0</v>
      </c>
      <c r="S146" s="27">
        <f t="shared" si="4"/>
        <v>6127.11</v>
      </c>
      <c r="T146" s="20" t="s">
        <v>24</v>
      </c>
      <c r="U146" s="20" t="s">
        <v>24</v>
      </c>
      <c r="V146" s="39">
        <v>0</v>
      </c>
      <c r="W146" s="22" t="s">
        <v>24</v>
      </c>
      <c r="X146" s="55"/>
      <c r="Y146" s="21" t="s">
        <v>29</v>
      </c>
    </row>
    <row r="147" spans="1:25" s="12" customFormat="1" ht="14.25" customHeight="1" x14ac:dyDescent="0.25">
      <c r="A147" s="38">
        <v>45889</v>
      </c>
      <c r="B147" s="13" t="s">
        <v>24</v>
      </c>
      <c r="C147" s="15" t="s">
        <v>59</v>
      </c>
      <c r="D147" s="23" t="s">
        <v>25</v>
      </c>
      <c r="E147" s="64" t="s">
        <v>220</v>
      </c>
      <c r="F147" s="65" t="s">
        <v>105</v>
      </c>
      <c r="G147" s="65" t="s">
        <v>327</v>
      </c>
      <c r="H147" s="14" t="s">
        <v>51</v>
      </c>
      <c r="I147" s="15" t="s">
        <v>52</v>
      </c>
      <c r="J147" s="14" t="s">
        <v>24</v>
      </c>
      <c r="K147" s="25" t="s">
        <v>45</v>
      </c>
      <c r="L147" s="16">
        <v>45892</v>
      </c>
      <c r="M147" s="14" t="s">
        <v>24</v>
      </c>
      <c r="N147" s="26">
        <v>84</v>
      </c>
      <c r="O147" s="29">
        <v>0</v>
      </c>
      <c r="P147" s="29">
        <v>485.46</v>
      </c>
      <c r="Q147" s="50">
        <v>12500</v>
      </c>
      <c r="R147" s="27">
        <v>0</v>
      </c>
      <c r="S147" s="40">
        <f t="shared" si="4"/>
        <v>12500</v>
      </c>
      <c r="T147" s="20" t="s">
        <v>24</v>
      </c>
      <c r="U147" s="20" t="s">
        <v>24</v>
      </c>
      <c r="V147" s="39">
        <v>0</v>
      </c>
      <c r="W147" s="22" t="s">
        <v>24</v>
      </c>
      <c r="X147" s="55"/>
      <c r="Y147" s="21"/>
    </row>
    <row r="148" spans="1:25" s="12" customFormat="1" ht="14.25" customHeight="1" x14ac:dyDescent="0.25">
      <c r="A148" s="38">
        <v>45890</v>
      </c>
      <c r="B148" s="13" t="s">
        <v>24</v>
      </c>
      <c r="C148" s="15" t="s">
        <v>59</v>
      </c>
      <c r="D148" s="23" t="s">
        <v>53</v>
      </c>
      <c r="E148" s="62" t="s">
        <v>328</v>
      </c>
      <c r="F148" s="63" t="s">
        <v>259</v>
      </c>
      <c r="G148" s="63" t="s">
        <v>329</v>
      </c>
      <c r="H148" s="14" t="s">
        <v>51</v>
      </c>
      <c r="I148" s="15" t="s">
        <v>52</v>
      </c>
      <c r="J148" s="14" t="s">
        <v>24</v>
      </c>
      <c r="K148" s="25" t="s">
        <v>42</v>
      </c>
      <c r="L148" s="38">
        <v>45893</v>
      </c>
      <c r="M148" s="14" t="s">
        <v>24</v>
      </c>
      <c r="N148" s="26">
        <v>96</v>
      </c>
      <c r="O148" s="29">
        <v>0</v>
      </c>
      <c r="P148" s="29">
        <v>285.77999999999997</v>
      </c>
      <c r="Q148" s="27">
        <v>11393.37</v>
      </c>
      <c r="R148" s="27">
        <v>0</v>
      </c>
      <c r="S148" s="40">
        <f t="shared" si="4"/>
        <v>11393.37</v>
      </c>
      <c r="T148" s="20" t="s">
        <v>24</v>
      </c>
      <c r="U148" s="20" t="s">
        <v>24</v>
      </c>
      <c r="V148" s="39">
        <v>0</v>
      </c>
      <c r="W148" s="22">
        <v>45900</v>
      </c>
      <c r="X148" s="55"/>
      <c r="Y148" s="21" t="s">
        <v>29</v>
      </c>
    </row>
    <row r="149" spans="1:25" s="12" customFormat="1" ht="14.25" customHeight="1" x14ac:dyDescent="0.25">
      <c r="A149" s="38">
        <v>45892</v>
      </c>
      <c r="B149" s="13">
        <v>45899</v>
      </c>
      <c r="C149" s="24" t="s">
        <v>33</v>
      </c>
      <c r="D149" s="23" t="s">
        <v>25</v>
      </c>
      <c r="E149" s="64" t="s">
        <v>330</v>
      </c>
      <c r="F149" s="65" t="s">
        <v>109</v>
      </c>
      <c r="G149" s="65" t="s">
        <v>331</v>
      </c>
      <c r="H149" s="14" t="s">
        <v>31</v>
      </c>
      <c r="I149" s="31" t="s">
        <v>40</v>
      </c>
      <c r="J149" s="14" t="s">
        <v>24</v>
      </c>
      <c r="K149" s="25" t="s">
        <v>28</v>
      </c>
      <c r="L149" s="16">
        <v>45895</v>
      </c>
      <c r="M149" s="14" t="s">
        <v>24</v>
      </c>
      <c r="N149" s="26">
        <v>43</v>
      </c>
      <c r="O149" s="29">
        <v>475.75</v>
      </c>
      <c r="P149" s="29">
        <v>488.74</v>
      </c>
      <c r="Q149" s="27">
        <v>0</v>
      </c>
      <c r="R149" s="27">
        <v>0</v>
      </c>
      <c r="S149" s="27">
        <f t="shared" si="4"/>
        <v>0</v>
      </c>
      <c r="T149" s="20" t="s">
        <v>24</v>
      </c>
      <c r="U149" s="20" t="s">
        <v>24</v>
      </c>
      <c r="V149" s="39">
        <v>0</v>
      </c>
      <c r="W149" s="22" t="s">
        <v>24</v>
      </c>
      <c r="X149" s="55"/>
      <c r="Y149" s="21" t="s">
        <v>29</v>
      </c>
    </row>
    <row r="150" spans="1:25" s="12" customFormat="1" ht="14.25" customHeight="1" x14ac:dyDescent="0.25">
      <c r="A150" s="38">
        <v>45894</v>
      </c>
      <c r="B150" s="13" t="s">
        <v>24</v>
      </c>
      <c r="C150" s="15" t="s">
        <v>61</v>
      </c>
      <c r="D150" s="23" t="s">
        <v>25</v>
      </c>
      <c r="E150" s="62" t="s">
        <v>224</v>
      </c>
      <c r="F150" s="63" t="s">
        <v>112</v>
      </c>
      <c r="G150" s="63" t="s">
        <v>332</v>
      </c>
      <c r="H150" s="24" t="s">
        <v>38</v>
      </c>
      <c r="I150" s="15" t="s">
        <v>39</v>
      </c>
      <c r="J150" s="14" t="s">
        <v>24</v>
      </c>
      <c r="K150" s="25" t="s">
        <v>32</v>
      </c>
      <c r="L150" s="16">
        <v>45897</v>
      </c>
      <c r="M150" s="14" t="s">
        <v>24</v>
      </c>
      <c r="N150" s="26">
        <v>84</v>
      </c>
      <c r="O150" s="29">
        <v>355</v>
      </c>
      <c r="P150" s="29">
        <v>506.98</v>
      </c>
      <c r="Q150" s="27">
        <v>17685.169999999998</v>
      </c>
      <c r="R150" s="27">
        <v>17500</v>
      </c>
      <c r="S150" s="40">
        <f t="shared" si="4"/>
        <v>185.16999999999825</v>
      </c>
      <c r="T150" s="20" t="s">
        <v>24</v>
      </c>
      <c r="U150" s="20" t="s">
        <v>24</v>
      </c>
      <c r="V150" s="39">
        <v>0</v>
      </c>
      <c r="W150" s="36" t="s">
        <v>24</v>
      </c>
      <c r="X150" s="55"/>
      <c r="Y150" s="21" t="s">
        <v>29</v>
      </c>
    </row>
    <row r="151" spans="1:25" s="12" customFormat="1" ht="14.25" customHeight="1" x14ac:dyDescent="0.25">
      <c r="A151" s="38">
        <v>45895</v>
      </c>
      <c r="B151" s="13" t="s">
        <v>24</v>
      </c>
      <c r="C151" s="15" t="s">
        <v>61</v>
      </c>
      <c r="D151" s="23" t="s">
        <v>25</v>
      </c>
      <c r="E151" s="64" t="s">
        <v>333</v>
      </c>
      <c r="F151" s="65" t="s">
        <v>115</v>
      </c>
      <c r="G151" s="65" t="s">
        <v>334</v>
      </c>
      <c r="H151" s="14" t="s">
        <v>31</v>
      </c>
      <c r="I151" s="15" t="s">
        <v>39</v>
      </c>
      <c r="J151" s="14" t="s">
        <v>24</v>
      </c>
      <c r="K151" s="25" t="s">
        <v>32</v>
      </c>
      <c r="L151" s="16">
        <v>45898</v>
      </c>
      <c r="M151" s="14" t="s">
        <v>24</v>
      </c>
      <c r="N151" s="26">
        <v>46</v>
      </c>
      <c r="O151" s="29">
        <v>506.16</v>
      </c>
      <c r="P151" s="29">
        <v>506.98</v>
      </c>
      <c r="Q151" s="27">
        <v>17500</v>
      </c>
      <c r="R151" s="27">
        <v>0</v>
      </c>
      <c r="S151" s="40">
        <f t="shared" si="4"/>
        <v>17500</v>
      </c>
      <c r="T151" s="20" t="s">
        <v>24</v>
      </c>
      <c r="U151" s="20" t="s">
        <v>24</v>
      </c>
      <c r="V151" s="39">
        <v>0</v>
      </c>
      <c r="W151" s="36" t="s">
        <v>24</v>
      </c>
      <c r="X151" s="55"/>
      <c r="Y151" s="21" t="s">
        <v>29</v>
      </c>
    </row>
    <row r="152" spans="1:25" s="12" customFormat="1" ht="14.25" customHeight="1" x14ac:dyDescent="0.25">
      <c r="A152" s="38">
        <v>45897</v>
      </c>
      <c r="B152" s="13" t="s">
        <v>24</v>
      </c>
      <c r="C152" s="15" t="s">
        <v>60</v>
      </c>
      <c r="D152" s="23" t="s">
        <v>25</v>
      </c>
      <c r="E152" s="62" t="s">
        <v>335</v>
      </c>
      <c r="F152" s="63" t="s">
        <v>336</v>
      </c>
      <c r="G152" s="63" t="s">
        <v>337</v>
      </c>
      <c r="H152" s="24" t="s">
        <v>38</v>
      </c>
      <c r="I152" s="31" t="s">
        <v>40</v>
      </c>
      <c r="J152" s="14" t="s">
        <v>24</v>
      </c>
      <c r="K152" s="14" t="s">
        <v>28</v>
      </c>
      <c r="L152" s="16">
        <v>45900</v>
      </c>
      <c r="M152" s="14" t="s">
        <v>24</v>
      </c>
      <c r="N152" s="26">
        <v>0</v>
      </c>
      <c r="O152" s="29">
        <v>0</v>
      </c>
      <c r="P152" s="29">
        <v>387.78</v>
      </c>
      <c r="Q152" s="18">
        <v>0</v>
      </c>
      <c r="R152" s="27">
        <v>0</v>
      </c>
      <c r="S152" s="40">
        <f t="shared" si="4"/>
        <v>0</v>
      </c>
      <c r="T152" s="20" t="s">
        <v>24</v>
      </c>
      <c r="U152" s="20" t="s">
        <v>24</v>
      </c>
      <c r="V152" s="39">
        <v>0</v>
      </c>
      <c r="W152" s="36" t="s">
        <v>24</v>
      </c>
      <c r="X152" s="55"/>
      <c r="Y152" s="21" t="s">
        <v>29</v>
      </c>
    </row>
    <row r="153" spans="1:25" s="12" customFormat="1" ht="14.25" customHeight="1" x14ac:dyDescent="0.25">
      <c r="A153" s="38">
        <v>45899</v>
      </c>
      <c r="B153" s="13" t="s">
        <v>24</v>
      </c>
      <c r="C153" s="15" t="s">
        <v>60</v>
      </c>
      <c r="D153" s="23" t="s">
        <v>25</v>
      </c>
      <c r="E153" s="64" t="s">
        <v>228</v>
      </c>
      <c r="F153" s="65" t="s">
        <v>143</v>
      </c>
      <c r="G153" s="65" t="s">
        <v>338</v>
      </c>
      <c r="H153" s="14" t="s">
        <v>31</v>
      </c>
      <c r="I153" s="31" t="s">
        <v>40</v>
      </c>
      <c r="J153" s="14" t="s">
        <v>24</v>
      </c>
      <c r="K153" s="14" t="s">
        <v>28</v>
      </c>
      <c r="L153" s="16">
        <v>45902</v>
      </c>
      <c r="M153" s="14" t="s">
        <v>24</v>
      </c>
      <c r="N153" s="26">
        <v>0</v>
      </c>
      <c r="O153" s="29">
        <v>0</v>
      </c>
      <c r="P153" s="29">
        <v>387.78</v>
      </c>
      <c r="Q153" s="27">
        <v>0</v>
      </c>
      <c r="R153" s="27">
        <v>0</v>
      </c>
      <c r="S153" s="40">
        <f t="shared" si="4"/>
        <v>0</v>
      </c>
      <c r="T153" s="20" t="s">
        <v>24</v>
      </c>
      <c r="U153" s="20" t="s">
        <v>24</v>
      </c>
      <c r="V153" s="39">
        <v>0</v>
      </c>
      <c r="W153" s="36" t="s">
        <v>24</v>
      </c>
      <c r="X153" s="55"/>
      <c r="Y153" s="21" t="s">
        <v>29</v>
      </c>
    </row>
    <row r="154" spans="1:25" s="12" customFormat="1" ht="14.25" customHeight="1" x14ac:dyDescent="0.25">
      <c r="A154" s="38">
        <v>45901</v>
      </c>
      <c r="B154" s="13" t="s">
        <v>24</v>
      </c>
      <c r="C154" s="15" t="s">
        <v>60</v>
      </c>
      <c r="D154" s="23" t="s">
        <v>25</v>
      </c>
      <c r="E154" s="62" t="s">
        <v>66</v>
      </c>
      <c r="F154" s="63" t="s">
        <v>67</v>
      </c>
      <c r="G154" s="63" t="s">
        <v>339</v>
      </c>
      <c r="H154" s="24" t="s">
        <v>38</v>
      </c>
      <c r="I154" s="31" t="s">
        <v>40</v>
      </c>
      <c r="J154" s="14" t="s">
        <v>24</v>
      </c>
      <c r="K154" s="14" t="s">
        <v>28</v>
      </c>
      <c r="L154" s="16">
        <v>45904</v>
      </c>
      <c r="M154" s="14" t="s">
        <v>24</v>
      </c>
      <c r="N154" s="26">
        <v>84</v>
      </c>
      <c r="O154" s="29">
        <v>0</v>
      </c>
      <c r="P154" s="29">
        <v>471</v>
      </c>
      <c r="Q154" s="18">
        <v>0</v>
      </c>
      <c r="R154" s="27">
        <v>0</v>
      </c>
      <c r="S154" s="27">
        <f t="shared" si="4"/>
        <v>0</v>
      </c>
      <c r="T154" s="20" t="s">
        <v>24</v>
      </c>
      <c r="U154" s="20" t="s">
        <v>24</v>
      </c>
      <c r="V154" s="39">
        <v>0</v>
      </c>
      <c r="W154" s="22" t="s">
        <v>24</v>
      </c>
      <c r="X154" s="55"/>
      <c r="Y154" s="21" t="s">
        <v>29</v>
      </c>
    </row>
    <row r="155" spans="1:25" s="12" customFormat="1" ht="14.25" customHeight="1" x14ac:dyDescent="0.25">
      <c r="A155" s="38">
        <v>45902</v>
      </c>
      <c r="B155" s="13" t="s">
        <v>24</v>
      </c>
      <c r="C155" s="15" t="s">
        <v>60</v>
      </c>
      <c r="D155" s="23" t="s">
        <v>25</v>
      </c>
      <c r="E155" s="64" t="s">
        <v>231</v>
      </c>
      <c r="F155" s="65" t="s">
        <v>123</v>
      </c>
      <c r="G155" s="65" t="s">
        <v>340</v>
      </c>
      <c r="H155" s="14" t="s">
        <v>31</v>
      </c>
      <c r="I155" s="31" t="s">
        <v>40</v>
      </c>
      <c r="J155" s="14" t="s">
        <v>24</v>
      </c>
      <c r="K155" s="14" t="s">
        <v>28</v>
      </c>
      <c r="L155" s="16">
        <v>45905</v>
      </c>
      <c r="M155" s="14" t="s">
        <v>24</v>
      </c>
      <c r="N155" s="26">
        <v>0</v>
      </c>
      <c r="O155" s="29">
        <v>0</v>
      </c>
      <c r="P155" s="29">
        <v>471</v>
      </c>
      <c r="Q155" s="27">
        <v>0</v>
      </c>
      <c r="R155" s="27">
        <v>0</v>
      </c>
      <c r="S155" s="27">
        <f t="shared" si="4"/>
        <v>0</v>
      </c>
      <c r="T155" s="20" t="s">
        <v>24</v>
      </c>
      <c r="U155" s="20" t="s">
        <v>24</v>
      </c>
      <c r="V155" s="39">
        <v>0</v>
      </c>
      <c r="W155" s="22" t="s">
        <v>24</v>
      </c>
      <c r="X155" s="55"/>
      <c r="Y155" s="21" t="s">
        <v>29</v>
      </c>
    </row>
    <row r="156" spans="1:25" s="12" customFormat="1" ht="14.25" customHeight="1" x14ac:dyDescent="0.25">
      <c r="A156" s="38">
        <v>45904</v>
      </c>
      <c r="B156" s="22" t="s">
        <v>24</v>
      </c>
      <c r="C156" s="15" t="s">
        <v>59</v>
      </c>
      <c r="D156" s="23" t="s">
        <v>25</v>
      </c>
      <c r="E156" s="62" t="s">
        <v>233</v>
      </c>
      <c r="F156" s="63" t="s">
        <v>126</v>
      </c>
      <c r="G156" s="63" t="s">
        <v>341</v>
      </c>
      <c r="H156" s="14" t="s">
        <v>38</v>
      </c>
      <c r="I156" s="24" t="s">
        <v>40</v>
      </c>
      <c r="J156" s="14" t="s">
        <v>24</v>
      </c>
      <c r="K156" s="25" t="s">
        <v>28</v>
      </c>
      <c r="L156" s="16">
        <v>45907</v>
      </c>
      <c r="M156" s="14" t="s">
        <v>24</v>
      </c>
      <c r="N156" s="17">
        <v>84</v>
      </c>
      <c r="O156" s="42">
        <v>0</v>
      </c>
      <c r="P156" s="37">
        <v>29.25</v>
      </c>
      <c r="Q156" s="18">
        <v>0</v>
      </c>
      <c r="R156" s="18">
        <v>0</v>
      </c>
      <c r="S156" s="18">
        <f t="shared" si="4"/>
        <v>0</v>
      </c>
      <c r="T156" s="20" t="s">
        <v>24</v>
      </c>
      <c r="U156" s="20" t="s">
        <v>24</v>
      </c>
      <c r="V156" s="39">
        <v>0</v>
      </c>
      <c r="W156" s="36" t="s">
        <v>24</v>
      </c>
      <c r="X156" s="55"/>
      <c r="Y156" s="21" t="s">
        <v>29</v>
      </c>
    </row>
    <row r="157" spans="1:25" s="12" customFormat="1" ht="14.25" customHeight="1" x14ac:dyDescent="0.25">
      <c r="A157" s="38">
        <v>45905</v>
      </c>
      <c r="B157" s="22" t="s">
        <v>24</v>
      </c>
      <c r="C157" s="15" t="s">
        <v>59</v>
      </c>
      <c r="D157" s="23" t="s">
        <v>25</v>
      </c>
      <c r="E157" s="64" t="s">
        <v>342</v>
      </c>
      <c r="F157" s="65" t="s">
        <v>129</v>
      </c>
      <c r="G157" s="65" t="s">
        <v>343</v>
      </c>
      <c r="H157" s="14" t="s">
        <v>31</v>
      </c>
      <c r="I157" s="24" t="s">
        <v>40</v>
      </c>
      <c r="J157" s="14" t="s">
        <v>24</v>
      </c>
      <c r="K157" s="25" t="s">
        <v>28</v>
      </c>
      <c r="L157" s="16">
        <v>45908</v>
      </c>
      <c r="M157" s="14" t="s">
        <v>24</v>
      </c>
      <c r="N157" s="17">
        <v>0</v>
      </c>
      <c r="O157" s="29">
        <v>0</v>
      </c>
      <c r="P157" s="35">
        <v>29.25</v>
      </c>
      <c r="Q157" s="51">
        <v>0</v>
      </c>
      <c r="R157" s="18">
        <v>0</v>
      </c>
      <c r="S157" s="18">
        <f t="shared" si="4"/>
        <v>0</v>
      </c>
      <c r="T157" s="20" t="s">
        <v>24</v>
      </c>
      <c r="U157" s="20" t="s">
        <v>24</v>
      </c>
      <c r="V157" s="39">
        <v>0</v>
      </c>
      <c r="W157" s="36" t="s">
        <v>24</v>
      </c>
      <c r="X157" s="55"/>
      <c r="Y157" s="21" t="s">
        <v>29</v>
      </c>
    </row>
    <row r="158" spans="1:25" s="12" customFormat="1" ht="14.25" customHeight="1" x14ac:dyDescent="0.25">
      <c r="A158" s="38">
        <v>45907</v>
      </c>
      <c r="B158" s="22" t="s">
        <v>24</v>
      </c>
      <c r="C158" s="15" t="s">
        <v>59</v>
      </c>
      <c r="D158" s="23" t="s">
        <v>25</v>
      </c>
      <c r="E158" s="62" t="s">
        <v>237</v>
      </c>
      <c r="F158" s="63" t="s">
        <v>132</v>
      </c>
      <c r="G158" s="63" t="s">
        <v>344</v>
      </c>
      <c r="H158" s="14" t="s">
        <v>38</v>
      </c>
      <c r="I158" s="24" t="s">
        <v>40</v>
      </c>
      <c r="J158" s="14" t="s">
        <v>24</v>
      </c>
      <c r="K158" s="25" t="s">
        <v>28</v>
      </c>
      <c r="L158" s="16">
        <v>45910</v>
      </c>
      <c r="M158" s="14" t="s">
        <v>24</v>
      </c>
      <c r="N158" s="17">
        <v>84</v>
      </c>
      <c r="O158" s="42">
        <v>0</v>
      </c>
      <c r="P158" s="37">
        <v>135.80000000000001</v>
      </c>
      <c r="Q158" s="18">
        <v>0</v>
      </c>
      <c r="R158" s="18">
        <v>0</v>
      </c>
      <c r="S158" s="18">
        <f t="shared" si="4"/>
        <v>0</v>
      </c>
      <c r="T158" s="20" t="s">
        <v>24</v>
      </c>
      <c r="U158" s="20" t="s">
        <v>24</v>
      </c>
      <c r="V158" s="39">
        <v>0</v>
      </c>
      <c r="W158" s="36" t="s">
        <v>24</v>
      </c>
      <c r="X158" s="55"/>
      <c r="Y158" s="21" t="s">
        <v>29</v>
      </c>
    </row>
    <row r="159" spans="1:25" s="12" customFormat="1" ht="14.25" customHeight="1" x14ac:dyDescent="0.25">
      <c r="A159" s="38">
        <v>45909</v>
      </c>
      <c r="B159" s="22" t="s">
        <v>24</v>
      </c>
      <c r="C159" s="15" t="s">
        <v>59</v>
      </c>
      <c r="D159" s="23" t="s">
        <v>25</v>
      </c>
      <c r="E159" s="64" t="s">
        <v>239</v>
      </c>
      <c r="F159" s="65" t="s">
        <v>240</v>
      </c>
      <c r="G159" s="65" t="s">
        <v>345</v>
      </c>
      <c r="H159" s="14" t="s">
        <v>31</v>
      </c>
      <c r="I159" s="24" t="s">
        <v>40</v>
      </c>
      <c r="J159" s="14" t="s">
        <v>24</v>
      </c>
      <c r="K159" s="25" t="s">
        <v>28</v>
      </c>
      <c r="L159" s="16">
        <v>45912</v>
      </c>
      <c r="M159" s="14" t="s">
        <v>24</v>
      </c>
      <c r="N159" s="17">
        <v>0</v>
      </c>
      <c r="O159" s="29">
        <v>0</v>
      </c>
      <c r="P159" s="35">
        <v>135.80000000000001</v>
      </c>
      <c r="Q159" s="51">
        <v>0</v>
      </c>
      <c r="R159" s="18">
        <v>0</v>
      </c>
      <c r="S159" s="18">
        <f t="shared" si="4"/>
        <v>0</v>
      </c>
      <c r="T159" s="20" t="s">
        <v>24</v>
      </c>
      <c r="U159" s="20" t="s">
        <v>24</v>
      </c>
      <c r="V159" s="39">
        <v>0</v>
      </c>
      <c r="W159" s="36" t="s">
        <v>24</v>
      </c>
      <c r="X159" s="55"/>
      <c r="Y159" s="21" t="s">
        <v>29</v>
      </c>
    </row>
    <row r="160" spans="1:25" s="12" customFormat="1" ht="14.25" customHeight="1" x14ac:dyDescent="0.25">
      <c r="A160" s="38">
        <v>45910</v>
      </c>
      <c r="B160" s="22" t="s">
        <v>24</v>
      </c>
      <c r="C160" s="15" t="s">
        <v>59</v>
      </c>
      <c r="D160" s="23" t="s">
        <v>25</v>
      </c>
      <c r="E160" s="62" t="s">
        <v>242</v>
      </c>
      <c r="F160" s="63" t="s">
        <v>136</v>
      </c>
      <c r="G160" s="63" t="s">
        <v>346</v>
      </c>
      <c r="H160" s="14" t="s">
        <v>38</v>
      </c>
      <c r="I160" s="24" t="s">
        <v>40</v>
      </c>
      <c r="J160" s="14" t="s">
        <v>24</v>
      </c>
      <c r="K160" s="25" t="s">
        <v>28</v>
      </c>
      <c r="L160" s="16">
        <v>45913</v>
      </c>
      <c r="M160" s="14" t="s">
        <v>24</v>
      </c>
      <c r="N160" s="17">
        <v>84</v>
      </c>
      <c r="O160" s="42">
        <v>0</v>
      </c>
      <c r="P160" s="37">
        <v>75.739999999999995</v>
      </c>
      <c r="Q160" s="18">
        <v>0</v>
      </c>
      <c r="R160" s="18">
        <v>0</v>
      </c>
      <c r="S160" s="18">
        <f t="shared" si="4"/>
        <v>0</v>
      </c>
      <c r="T160" s="20" t="s">
        <v>24</v>
      </c>
      <c r="U160" s="20" t="s">
        <v>24</v>
      </c>
      <c r="V160" s="39">
        <v>0</v>
      </c>
      <c r="W160" s="36" t="s">
        <v>24</v>
      </c>
      <c r="X160" s="55"/>
      <c r="Y160" s="21" t="s">
        <v>29</v>
      </c>
    </row>
    <row r="161" spans="1:25" s="12" customFormat="1" ht="14.25" customHeight="1" x14ac:dyDescent="0.25">
      <c r="A161" s="38">
        <v>45912</v>
      </c>
      <c r="B161" s="22" t="s">
        <v>24</v>
      </c>
      <c r="C161" s="15" t="s">
        <v>59</v>
      </c>
      <c r="D161" s="23" t="s">
        <v>25</v>
      </c>
      <c r="E161" s="64" t="s">
        <v>244</v>
      </c>
      <c r="F161" s="65" t="s">
        <v>139</v>
      </c>
      <c r="G161" s="65" t="s">
        <v>347</v>
      </c>
      <c r="H161" s="14" t="s">
        <v>31</v>
      </c>
      <c r="I161" s="24" t="s">
        <v>40</v>
      </c>
      <c r="J161" s="14" t="s">
        <v>24</v>
      </c>
      <c r="K161" s="25" t="s">
        <v>28</v>
      </c>
      <c r="L161" s="16">
        <v>45915</v>
      </c>
      <c r="M161" s="14" t="s">
        <v>24</v>
      </c>
      <c r="N161" s="17">
        <v>0</v>
      </c>
      <c r="O161" s="29">
        <v>0</v>
      </c>
      <c r="P161" s="35">
        <v>75.739999999999995</v>
      </c>
      <c r="Q161" s="51">
        <v>0</v>
      </c>
      <c r="R161" s="18">
        <v>0</v>
      </c>
      <c r="S161" s="18">
        <f t="shared" si="4"/>
        <v>0</v>
      </c>
      <c r="T161" s="20" t="s">
        <v>24</v>
      </c>
      <c r="U161" s="20" t="s">
        <v>24</v>
      </c>
      <c r="V161" s="39">
        <v>0</v>
      </c>
      <c r="W161" s="36" t="s">
        <v>24</v>
      </c>
      <c r="X161" s="55"/>
      <c r="Y161" s="21" t="s">
        <v>29</v>
      </c>
    </row>
    <row r="162" spans="1:25" s="12" customFormat="1" ht="14.25" customHeight="1" x14ac:dyDescent="0.25">
      <c r="A162" s="38">
        <v>45913</v>
      </c>
      <c r="B162" s="22" t="s">
        <v>24</v>
      </c>
      <c r="C162" s="15" t="s">
        <v>59</v>
      </c>
      <c r="D162" s="23" t="s">
        <v>25</v>
      </c>
      <c r="E162" s="62" t="s">
        <v>63</v>
      </c>
      <c r="F162" s="63" t="s">
        <v>64</v>
      </c>
      <c r="G162" s="63" t="s">
        <v>348</v>
      </c>
      <c r="H162" s="14" t="s">
        <v>38</v>
      </c>
      <c r="I162" s="24" t="s">
        <v>40</v>
      </c>
      <c r="J162" s="14" t="s">
        <v>24</v>
      </c>
      <c r="K162" s="25" t="s">
        <v>28</v>
      </c>
      <c r="L162" s="16">
        <v>45916</v>
      </c>
      <c r="M162" s="14" t="s">
        <v>24</v>
      </c>
      <c r="N162" s="17">
        <v>84</v>
      </c>
      <c r="O162" s="42">
        <v>0</v>
      </c>
      <c r="P162" s="37">
        <v>111</v>
      </c>
      <c r="Q162" s="18">
        <v>0</v>
      </c>
      <c r="R162" s="18">
        <v>0</v>
      </c>
      <c r="S162" s="18">
        <f t="shared" si="4"/>
        <v>0</v>
      </c>
      <c r="T162" s="20" t="s">
        <v>24</v>
      </c>
      <c r="U162" s="20" t="s">
        <v>24</v>
      </c>
      <c r="V162" s="39">
        <v>0</v>
      </c>
      <c r="W162" s="36" t="s">
        <v>24</v>
      </c>
      <c r="X162" s="55"/>
      <c r="Y162" s="21" t="s">
        <v>29</v>
      </c>
    </row>
    <row r="163" spans="1:25" s="12" customFormat="1" ht="14.25" customHeight="1" x14ac:dyDescent="0.25">
      <c r="A163" s="38">
        <v>45915</v>
      </c>
      <c r="B163" s="22" t="s">
        <v>24</v>
      </c>
      <c r="C163" s="15" t="s">
        <v>59</v>
      </c>
      <c r="D163" s="23" t="s">
        <v>25</v>
      </c>
      <c r="E163" s="64" t="s">
        <v>66</v>
      </c>
      <c r="F163" s="65" t="s">
        <v>67</v>
      </c>
      <c r="G163" s="65" t="s">
        <v>349</v>
      </c>
      <c r="H163" s="14" t="s">
        <v>31</v>
      </c>
      <c r="I163" s="24" t="s">
        <v>40</v>
      </c>
      <c r="J163" s="14" t="s">
        <v>24</v>
      </c>
      <c r="K163" s="25" t="s">
        <v>28</v>
      </c>
      <c r="L163" s="16">
        <v>45918</v>
      </c>
      <c r="M163" s="14" t="s">
        <v>24</v>
      </c>
      <c r="N163" s="17">
        <v>0</v>
      </c>
      <c r="O163" s="29">
        <v>0</v>
      </c>
      <c r="P163" s="35">
        <v>111</v>
      </c>
      <c r="Q163" s="51">
        <v>0</v>
      </c>
      <c r="R163" s="18">
        <v>0</v>
      </c>
      <c r="S163" s="18">
        <f t="shared" si="4"/>
        <v>0</v>
      </c>
      <c r="T163" s="20" t="s">
        <v>24</v>
      </c>
      <c r="U163" s="20" t="s">
        <v>24</v>
      </c>
      <c r="V163" s="39">
        <v>0</v>
      </c>
      <c r="W163" s="36" t="s">
        <v>24</v>
      </c>
      <c r="X163" s="55"/>
      <c r="Y163" s="21" t="s">
        <v>29</v>
      </c>
    </row>
    <row r="164" spans="1:25" s="12" customFormat="1" ht="14.25" customHeight="1" x14ac:dyDescent="0.25">
      <c r="A164" s="38">
        <v>45917</v>
      </c>
      <c r="B164" s="22" t="s">
        <v>24</v>
      </c>
      <c r="C164" s="15" t="s">
        <v>59</v>
      </c>
      <c r="D164" s="23" t="s">
        <v>25</v>
      </c>
      <c r="E164" s="62" t="s">
        <v>248</v>
      </c>
      <c r="F164" s="63" t="s">
        <v>249</v>
      </c>
      <c r="G164" s="63" t="s">
        <v>350</v>
      </c>
      <c r="H164" s="14" t="s">
        <v>38</v>
      </c>
      <c r="I164" s="15" t="s">
        <v>39</v>
      </c>
      <c r="J164" s="14" t="s">
        <v>24</v>
      </c>
      <c r="K164" s="25" t="s">
        <v>32</v>
      </c>
      <c r="L164" s="16">
        <v>45920</v>
      </c>
      <c r="M164" s="14" t="s">
        <v>24</v>
      </c>
      <c r="N164" s="17">
        <v>84</v>
      </c>
      <c r="O164" s="29">
        <v>222</v>
      </c>
      <c r="P164" s="29">
        <v>281.51</v>
      </c>
      <c r="Q164" s="18">
        <v>11072.71</v>
      </c>
      <c r="R164" s="18">
        <v>10900</v>
      </c>
      <c r="S164" s="39">
        <f t="shared" si="4"/>
        <v>172.70999999999913</v>
      </c>
      <c r="T164" s="20" t="s">
        <v>24</v>
      </c>
      <c r="U164" s="20" t="s">
        <v>24</v>
      </c>
      <c r="V164" s="39">
        <v>0</v>
      </c>
      <c r="W164" s="36" t="s">
        <v>24</v>
      </c>
      <c r="X164" s="55"/>
      <c r="Y164" s="21" t="s">
        <v>29</v>
      </c>
    </row>
    <row r="165" spans="1:25" s="12" customFormat="1" ht="14.25" customHeight="1" x14ac:dyDescent="0.25">
      <c r="A165" s="38">
        <v>45918</v>
      </c>
      <c r="B165" s="22" t="s">
        <v>24</v>
      </c>
      <c r="C165" s="15" t="s">
        <v>59</v>
      </c>
      <c r="D165" s="23" t="s">
        <v>25</v>
      </c>
      <c r="E165" s="64" t="s">
        <v>72</v>
      </c>
      <c r="F165" s="65" t="s">
        <v>73</v>
      </c>
      <c r="G165" s="65" t="s">
        <v>351</v>
      </c>
      <c r="H165" s="14" t="s">
        <v>31</v>
      </c>
      <c r="I165" s="15" t="s">
        <v>39</v>
      </c>
      <c r="J165" s="14" t="s">
        <v>24</v>
      </c>
      <c r="K165" s="25" t="s">
        <v>32</v>
      </c>
      <c r="L165" s="16">
        <v>45921</v>
      </c>
      <c r="M165" s="14" t="s">
        <v>24</v>
      </c>
      <c r="N165" s="26">
        <v>0</v>
      </c>
      <c r="O165" s="29">
        <v>280.58999999999997</v>
      </c>
      <c r="P165" s="29">
        <v>281.51</v>
      </c>
      <c r="Q165" s="27">
        <v>10900</v>
      </c>
      <c r="R165" s="27">
        <v>0</v>
      </c>
      <c r="S165" s="40">
        <f t="shared" si="4"/>
        <v>10900</v>
      </c>
      <c r="T165" s="20" t="s">
        <v>24</v>
      </c>
      <c r="U165" s="20" t="s">
        <v>24</v>
      </c>
      <c r="V165" s="39">
        <v>0</v>
      </c>
      <c r="W165" s="36" t="s">
        <v>24</v>
      </c>
      <c r="X165" s="55"/>
      <c r="Y165" s="21" t="s">
        <v>29</v>
      </c>
    </row>
    <row r="166" spans="1:25" s="12" customFormat="1" ht="14.25" customHeight="1" x14ac:dyDescent="0.25">
      <c r="A166" s="38">
        <v>45920</v>
      </c>
      <c r="B166" s="22" t="s">
        <v>24</v>
      </c>
      <c r="C166" s="15" t="s">
        <v>59</v>
      </c>
      <c r="D166" s="23" t="s">
        <v>25</v>
      </c>
      <c r="E166" s="62" t="s">
        <v>75</v>
      </c>
      <c r="F166" s="63" t="s">
        <v>76</v>
      </c>
      <c r="G166" s="63" t="s">
        <v>352</v>
      </c>
      <c r="H166" s="14" t="s">
        <v>38</v>
      </c>
      <c r="I166" s="15" t="s">
        <v>39</v>
      </c>
      <c r="J166" s="14" t="s">
        <v>24</v>
      </c>
      <c r="K166" s="25" t="s">
        <v>32</v>
      </c>
      <c r="L166" s="16">
        <v>45923</v>
      </c>
      <c r="M166" s="14" t="s">
        <v>24</v>
      </c>
      <c r="N166" s="17">
        <v>84</v>
      </c>
      <c r="O166" s="29">
        <v>50.01</v>
      </c>
      <c r="P166" s="29">
        <v>59.94</v>
      </c>
      <c r="Q166" s="18">
        <v>2494.35</v>
      </c>
      <c r="R166" s="18">
        <v>1859.36</v>
      </c>
      <c r="S166" s="39">
        <f t="shared" si="4"/>
        <v>634.99</v>
      </c>
      <c r="T166" s="20" t="s">
        <v>24</v>
      </c>
      <c r="U166" s="20" t="s">
        <v>24</v>
      </c>
      <c r="V166" s="39">
        <v>0</v>
      </c>
      <c r="W166" s="36" t="s">
        <v>24</v>
      </c>
      <c r="X166" s="55"/>
      <c r="Y166" s="21" t="s">
        <v>29</v>
      </c>
    </row>
    <row r="167" spans="1:25" s="12" customFormat="1" ht="14.25" customHeight="1" x14ac:dyDescent="0.25">
      <c r="A167" s="38">
        <v>45922</v>
      </c>
      <c r="B167" s="22" t="s">
        <v>24</v>
      </c>
      <c r="C167" s="15" t="s">
        <v>59</v>
      </c>
      <c r="D167" s="23" t="s">
        <v>25</v>
      </c>
      <c r="E167" s="64" t="s">
        <v>119</v>
      </c>
      <c r="F167" s="65" t="s">
        <v>120</v>
      </c>
      <c r="G167" s="65" t="s">
        <v>353</v>
      </c>
      <c r="H167" s="14" t="s">
        <v>31</v>
      </c>
      <c r="I167" s="15" t="s">
        <v>39</v>
      </c>
      <c r="J167" s="14" t="s">
        <v>24</v>
      </c>
      <c r="K167" s="25" t="s">
        <v>32</v>
      </c>
      <c r="L167" s="16">
        <v>45925</v>
      </c>
      <c r="M167" s="14" t="s">
        <v>24</v>
      </c>
      <c r="N167" s="26">
        <v>0</v>
      </c>
      <c r="O167" s="29">
        <v>52.92</v>
      </c>
      <c r="P167" s="29">
        <v>59.94</v>
      </c>
      <c r="Q167" s="27">
        <v>1859.36</v>
      </c>
      <c r="R167" s="27">
        <v>0</v>
      </c>
      <c r="S167" s="40">
        <f t="shared" si="4"/>
        <v>1859.36</v>
      </c>
      <c r="T167" s="20" t="s">
        <v>24</v>
      </c>
      <c r="U167" s="20" t="s">
        <v>24</v>
      </c>
      <c r="V167" s="39">
        <v>0</v>
      </c>
      <c r="W167" s="36" t="s">
        <v>24</v>
      </c>
      <c r="X167" s="55"/>
      <c r="Y167" s="21" t="s">
        <v>29</v>
      </c>
    </row>
    <row r="168" spans="1:25" s="12" customFormat="1" ht="14.25" customHeight="1" x14ac:dyDescent="0.25">
      <c r="A168" s="38">
        <v>45923</v>
      </c>
      <c r="B168" s="22" t="s">
        <v>24</v>
      </c>
      <c r="C168" s="15" t="s">
        <v>59</v>
      </c>
      <c r="D168" s="23" t="s">
        <v>25</v>
      </c>
      <c r="E168" s="62" t="s">
        <v>277</v>
      </c>
      <c r="F168" s="63" t="s">
        <v>240</v>
      </c>
      <c r="G168" s="63" t="s">
        <v>354</v>
      </c>
      <c r="H168" s="14" t="s">
        <v>38</v>
      </c>
      <c r="I168" s="15" t="s">
        <v>39</v>
      </c>
      <c r="J168" s="14" t="s">
        <v>24</v>
      </c>
      <c r="K168" s="25" t="s">
        <v>32</v>
      </c>
      <c r="L168" s="16">
        <v>45926</v>
      </c>
      <c r="M168" s="14" t="s">
        <v>24</v>
      </c>
      <c r="N168" s="17">
        <v>84</v>
      </c>
      <c r="O168" s="29">
        <v>43</v>
      </c>
      <c r="P168" s="29">
        <v>74.599999999999994</v>
      </c>
      <c r="Q168" s="18">
        <v>2148.0700000000002</v>
      </c>
      <c r="R168" s="18">
        <v>1993.24</v>
      </c>
      <c r="S168" s="39">
        <f t="shared" si="4"/>
        <v>154.83000000000015</v>
      </c>
      <c r="T168" s="20" t="s">
        <v>24</v>
      </c>
      <c r="U168" s="20" t="s">
        <v>24</v>
      </c>
      <c r="V168" s="39">
        <v>0</v>
      </c>
      <c r="W168" s="36" t="s">
        <v>24</v>
      </c>
      <c r="X168" s="55"/>
      <c r="Y168" s="21" t="s">
        <v>29</v>
      </c>
    </row>
    <row r="169" spans="1:25" s="12" customFormat="1" ht="14.25" customHeight="1" x14ac:dyDescent="0.25">
      <c r="A169" s="38">
        <v>45925</v>
      </c>
      <c r="B169" s="22" t="s">
        <v>24</v>
      </c>
      <c r="C169" s="15" t="s">
        <v>59</v>
      </c>
      <c r="D169" s="23" t="s">
        <v>25</v>
      </c>
      <c r="E169" s="64" t="s">
        <v>131</v>
      </c>
      <c r="F169" s="65" t="s">
        <v>132</v>
      </c>
      <c r="G169" s="65" t="s">
        <v>355</v>
      </c>
      <c r="H169" s="14" t="s">
        <v>31</v>
      </c>
      <c r="I169" s="15" t="s">
        <v>39</v>
      </c>
      <c r="J169" s="14" t="s">
        <v>24</v>
      </c>
      <c r="K169" s="25" t="s">
        <v>32</v>
      </c>
      <c r="L169" s="16">
        <v>45928</v>
      </c>
      <c r="M169" s="14" t="s">
        <v>24</v>
      </c>
      <c r="N169" s="26">
        <v>0</v>
      </c>
      <c r="O169" s="29">
        <v>73.33</v>
      </c>
      <c r="P169" s="29">
        <v>74.599999999999994</v>
      </c>
      <c r="Q169" s="27">
        <v>1993.24</v>
      </c>
      <c r="R169" s="27">
        <v>0</v>
      </c>
      <c r="S169" s="40">
        <f t="shared" si="4"/>
        <v>1993.24</v>
      </c>
      <c r="T169" s="20" t="s">
        <v>24</v>
      </c>
      <c r="U169" s="20" t="s">
        <v>24</v>
      </c>
      <c r="V169" s="39">
        <v>0</v>
      </c>
      <c r="W169" s="36" t="s">
        <v>24</v>
      </c>
      <c r="X169" s="55"/>
      <c r="Y169" s="21" t="s">
        <v>29</v>
      </c>
    </row>
    <row r="170" spans="1:25" s="12" customFormat="1" ht="14.25" customHeight="1" x14ac:dyDescent="0.25">
      <c r="A170" s="38">
        <v>45926</v>
      </c>
      <c r="B170" s="22">
        <v>45933</v>
      </c>
      <c r="C170" s="15" t="s">
        <v>59</v>
      </c>
      <c r="D170" s="23" t="s">
        <v>25</v>
      </c>
      <c r="E170" s="62" t="s">
        <v>87</v>
      </c>
      <c r="F170" s="63" t="s">
        <v>88</v>
      </c>
      <c r="G170" s="63" t="s">
        <v>356</v>
      </c>
      <c r="H170" s="14" t="s">
        <v>38</v>
      </c>
      <c r="I170" s="24" t="s">
        <v>40</v>
      </c>
      <c r="J170" s="14" t="s">
        <v>24</v>
      </c>
      <c r="K170" s="25" t="s">
        <v>48</v>
      </c>
      <c r="L170" s="16">
        <v>45929</v>
      </c>
      <c r="M170" s="14" t="s">
        <v>24</v>
      </c>
      <c r="N170" s="26">
        <v>84</v>
      </c>
      <c r="O170" s="29">
        <v>205</v>
      </c>
      <c r="P170" s="29">
        <v>286.20999999999998</v>
      </c>
      <c r="Q170" s="27">
        <v>10791.66</v>
      </c>
      <c r="R170" s="27">
        <v>10541.66</v>
      </c>
      <c r="S170" s="27">
        <f t="shared" si="4"/>
        <v>250</v>
      </c>
      <c r="T170" s="20" t="s">
        <v>24</v>
      </c>
      <c r="U170" s="20" t="s">
        <v>24</v>
      </c>
      <c r="V170" s="39">
        <v>0</v>
      </c>
      <c r="W170" s="22" t="s">
        <v>24</v>
      </c>
      <c r="X170" s="55"/>
      <c r="Y170" s="21" t="s">
        <v>29</v>
      </c>
    </row>
    <row r="171" spans="1:25" s="12" customFormat="1" ht="14.25" customHeight="1" x14ac:dyDescent="0.25">
      <c r="A171" s="38">
        <v>45928</v>
      </c>
      <c r="B171" s="22">
        <v>45935</v>
      </c>
      <c r="C171" s="15" t="s">
        <v>59</v>
      </c>
      <c r="D171" s="23" t="s">
        <v>25</v>
      </c>
      <c r="E171" s="64" t="s">
        <v>90</v>
      </c>
      <c r="F171" s="65" t="s">
        <v>91</v>
      </c>
      <c r="G171" s="65" t="s">
        <v>357</v>
      </c>
      <c r="H171" s="14" t="s">
        <v>31</v>
      </c>
      <c r="I171" s="24" t="s">
        <v>40</v>
      </c>
      <c r="J171" s="14" t="s">
        <v>24</v>
      </c>
      <c r="K171" s="25" t="s">
        <v>49</v>
      </c>
      <c r="L171" s="16">
        <v>45931</v>
      </c>
      <c r="M171" s="14" t="s">
        <v>24</v>
      </c>
      <c r="N171" s="26">
        <v>0</v>
      </c>
      <c r="O171" s="29">
        <v>257.49</v>
      </c>
      <c r="P171" s="29">
        <v>286.20999999999998</v>
      </c>
      <c r="Q171" s="27">
        <v>10541.66</v>
      </c>
      <c r="R171" s="27">
        <v>0</v>
      </c>
      <c r="S171" s="27">
        <f t="shared" si="4"/>
        <v>10541.66</v>
      </c>
      <c r="T171" s="20" t="s">
        <v>24</v>
      </c>
      <c r="U171" s="20" t="s">
        <v>24</v>
      </c>
      <c r="V171" s="39">
        <v>0</v>
      </c>
      <c r="W171" s="22" t="s">
        <v>24</v>
      </c>
      <c r="X171" s="55"/>
      <c r="Y171" s="21" t="s">
        <v>29</v>
      </c>
    </row>
    <row r="172" spans="1:25" s="12" customFormat="1" ht="14.25" customHeight="1" x14ac:dyDescent="0.25">
      <c r="A172" s="38">
        <v>45930</v>
      </c>
      <c r="B172" s="22">
        <v>45937</v>
      </c>
      <c r="C172" s="15" t="s">
        <v>59</v>
      </c>
      <c r="D172" s="23" t="s">
        <v>25</v>
      </c>
      <c r="E172" s="62" t="s">
        <v>93</v>
      </c>
      <c r="F172" s="63" t="s">
        <v>94</v>
      </c>
      <c r="G172" s="63" t="s">
        <v>358</v>
      </c>
      <c r="H172" s="14" t="s">
        <v>38</v>
      </c>
      <c r="I172" s="24" t="s">
        <v>40</v>
      </c>
      <c r="J172" s="14" t="s">
        <v>24</v>
      </c>
      <c r="K172" s="25" t="s">
        <v>48</v>
      </c>
      <c r="L172" s="16">
        <v>45933</v>
      </c>
      <c r="M172" s="14" t="s">
        <v>24</v>
      </c>
      <c r="N172" s="26">
        <v>84</v>
      </c>
      <c r="O172" s="29">
        <v>42.5</v>
      </c>
      <c r="P172" s="29">
        <v>56.2</v>
      </c>
      <c r="Q172" s="27">
        <v>2210.34</v>
      </c>
      <c r="R172" s="27">
        <v>1960.34</v>
      </c>
      <c r="S172" s="27">
        <f t="shared" si="4"/>
        <v>250.00000000000023</v>
      </c>
      <c r="T172" s="20" t="s">
        <v>24</v>
      </c>
      <c r="U172" s="20" t="s">
        <v>24</v>
      </c>
      <c r="V172" s="39">
        <v>0</v>
      </c>
      <c r="W172" s="22" t="s">
        <v>24</v>
      </c>
      <c r="X172" s="55"/>
      <c r="Y172" s="21" t="s">
        <v>29</v>
      </c>
    </row>
    <row r="173" spans="1:25" s="12" customFormat="1" ht="14.25" customHeight="1" x14ac:dyDescent="0.25">
      <c r="A173" s="38">
        <v>45931</v>
      </c>
      <c r="B173" s="22">
        <v>45938</v>
      </c>
      <c r="C173" s="15" t="s">
        <v>59</v>
      </c>
      <c r="D173" s="23" t="s">
        <v>25</v>
      </c>
      <c r="E173" s="64" t="s">
        <v>277</v>
      </c>
      <c r="F173" s="65" t="s">
        <v>240</v>
      </c>
      <c r="G173" s="65" t="s">
        <v>359</v>
      </c>
      <c r="H173" s="14" t="s">
        <v>31</v>
      </c>
      <c r="I173" s="24" t="s">
        <v>40</v>
      </c>
      <c r="J173" s="14" t="s">
        <v>24</v>
      </c>
      <c r="K173" s="25" t="s">
        <v>49</v>
      </c>
      <c r="L173" s="16">
        <v>45934</v>
      </c>
      <c r="M173" s="14" t="s">
        <v>24</v>
      </c>
      <c r="N173" s="26">
        <v>57</v>
      </c>
      <c r="O173" s="29">
        <v>47.88</v>
      </c>
      <c r="P173" s="29">
        <v>56.2</v>
      </c>
      <c r="Q173" s="27">
        <v>1960.34</v>
      </c>
      <c r="R173" s="27">
        <v>0</v>
      </c>
      <c r="S173" s="27">
        <f t="shared" si="4"/>
        <v>1960.34</v>
      </c>
      <c r="T173" s="20" t="s">
        <v>24</v>
      </c>
      <c r="U173" s="20" t="s">
        <v>24</v>
      </c>
      <c r="V173" s="39">
        <v>0</v>
      </c>
      <c r="W173" s="22" t="s">
        <v>24</v>
      </c>
      <c r="X173" s="55"/>
      <c r="Y173" s="21" t="s">
        <v>29</v>
      </c>
    </row>
    <row r="174" spans="1:25" s="12" customFormat="1" ht="14.25" customHeight="1" x14ac:dyDescent="0.25">
      <c r="A174" s="38">
        <v>45933</v>
      </c>
      <c r="B174" s="22" t="s">
        <v>24</v>
      </c>
      <c r="C174" s="24" t="s">
        <v>35</v>
      </c>
      <c r="D174" s="23" t="s">
        <v>25</v>
      </c>
      <c r="E174" s="62" t="s">
        <v>99</v>
      </c>
      <c r="F174" s="63" t="s">
        <v>100</v>
      </c>
      <c r="G174" s="63" t="s">
        <v>360</v>
      </c>
      <c r="H174" s="14" t="s">
        <v>51</v>
      </c>
      <c r="I174" s="15" t="s">
        <v>54</v>
      </c>
      <c r="J174" s="14" t="s">
        <v>24</v>
      </c>
      <c r="K174" s="25" t="s">
        <v>32</v>
      </c>
      <c r="L174" s="22" t="s">
        <v>24</v>
      </c>
      <c r="M174" s="14" t="s">
        <v>24</v>
      </c>
      <c r="N174" s="17">
        <v>84</v>
      </c>
      <c r="O174" s="29">
        <v>0</v>
      </c>
      <c r="P174" s="29">
        <v>70</v>
      </c>
      <c r="Q174" s="18">
        <v>2868.09</v>
      </c>
      <c r="R174" s="18">
        <v>0</v>
      </c>
      <c r="S174" s="39">
        <f t="shared" si="4"/>
        <v>2868.09</v>
      </c>
      <c r="T174" s="20" t="s">
        <v>24</v>
      </c>
      <c r="U174" s="20" t="s">
        <v>24</v>
      </c>
      <c r="V174" s="39">
        <v>0</v>
      </c>
      <c r="W174" s="36" t="s">
        <v>24</v>
      </c>
      <c r="X174" s="55"/>
      <c r="Y174" s="21" t="s">
        <v>29</v>
      </c>
    </row>
    <row r="175" spans="1:25" s="12" customFormat="1" ht="14.25" customHeight="1" x14ac:dyDescent="0.25">
      <c r="A175" s="38">
        <v>45935</v>
      </c>
      <c r="B175" s="22" t="s">
        <v>24</v>
      </c>
      <c r="C175" s="15" t="s">
        <v>59</v>
      </c>
      <c r="D175" s="23" t="s">
        <v>25</v>
      </c>
      <c r="E175" s="64" t="s">
        <v>96</v>
      </c>
      <c r="F175" s="65" t="s">
        <v>97</v>
      </c>
      <c r="G175" s="65" t="s">
        <v>361</v>
      </c>
      <c r="H175" s="14" t="s">
        <v>43</v>
      </c>
      <c r="I175" s="15" t="s">
        <v>44</v>
      </c>
      <c r="J175" s="14" t="s">
        <v>24</v>
      </c>
      <c r="K175" s="25" t="s">
        <v>28</v>
      </c>
      <c r="L175" s="16">
        <v>45938</v>
      </c>
      <c r="M175" s="14" t="s">
        <v>24</v>
      </c>
      <c r="N175" s="17">
        <v>0</v>
      </c>
      <c r="O175" s="29">
        <v>0</v>
      </c>
      <c r="P175" s="29">
        <v>0</v>
      </c>
      <c r="Q175" s="32">
        <v>243.93</v>
      </c>
      <c r="R175" s="18">
        <v>0</v>
      </c>
      <c r="S175" s="39">
        <f t="shared" si="4"/>
        <v>243.93</v>
      </c>
      <c r="T175" s="20" t="s">
        <v>24</v>
      </c>
      <c r="U175" s="20" t="s">
        <v>24</v>
      </c>
      <c r="V175" s="39">
        <v>0</v>
      </c>
      <c r="W175" s="36" t="s">
        <v>24</v>
      </c>
      <c r="X175" s="55"/>
      <c r="Y175" s="21" t="s">
        <v>29</v>
      </c>
    </row>
    <row r="176" spans="1:25" s="12" customFormat="1" ht="14.25" customHeight="1" x14ac:dyDescent="0.25">
      <c r="A176" s="38">
        <v>45936</v>
      </c>
      <c r="B176" s="22" t="s">
        <v>24</v>
      </c>
      <c r="C176" s="15" t="s">
        <v>60</v>
      </c>
      <c r="D176" s="23" t="s">
        <v>25</v>
      </c>
      <c r="E176" s="62" t="s">
        <v>235</v>
      </c>
      <c r="F176" s="63" t="s">
        <v>218</v>
      </c>
      <c r="G176" s="63" t="s">
        <v>362</v>
      </c>
      <c r="H176" s="14" t="s">
        <v>31</v>
      </c>
      <c r="I176" s="15" t="s">
        <v>27</v>
      </c>
      <c r="J176" s="14" t="s">
        <v>24</v>
      </c>
      <c r="K176" s="25" t="s">
        <v>32</v>
      </c>
      <c r="L176" s="16">
        <v>45939</v>
      </c>
      <c r="M176" s="14" t="s">
        <v>24</v>
      </c>
      <c r="N176" s="17">
        <v>33</v>
      </c>
      <c r="O176" s="29">
        <v>323.56</v>
      </c>
      <c r="P176" s="29">
        <v>351.32</v>
      </c>
      <c r="Q176" s="18">
        <v>8807</v>
      </c>
      <c r="R176" s="18">
        <v>0</v>
      </c>
      <c r="S176" s="39">
        <v>8807</v>
      </c>
      <c r="T176" s="20" t="s">
        <v>24</v>
      </c>
      <c r="U176" s="20" t="s">
        <v>24</v>
      </c>
      <c r="V176" s="39">
        <v>0</v>
      </c>
      <c r="W176" s="36" t="s">
        <v>24</v>
      </c>
      <c r="X176" s="55"/>
      <c r="Y176" s="21" t="s">
        <v>29</v>
      </c>
    </row>
    <row r="177" spans="1:28" s="12" customFormat="1" ht="14.25" customHeight="1" x14ac:dyDescent="0.25">
      <c r="A177" s="38">
        <v>45938</v>
      </c>
      <c r="B177" s="22" t="s">
        <v>24</v>
      </c>
      <c r="C177" s="15" t="s">
        <v>59</v>
      </c>
      <c r="D177" s="23" t="s">
        <v>25</v>
      </c>
      <c r="E177" s="64" t="s">
        <v>104</v>
      </c>
      <c r="F177" s="65" t="s">
        <v>105</v>
      </c>
      <c r="G177" s="65" t="s">
        <v>363</v>
      </c>
      <c r="H177" s="14" t="s">
        <v>43</v>
      </c>
      <c r="I177" s="15" t="s">
        <v>44</v>
      </c>
      <c r="J177" s="14" t="s">
        <v>24</v>
      </c>
      <c r="K177" s="25" t="s">
        <v>42</v>
      </c>
      <c r="L177" s="16">
        <v>45941</v>
      </c>
      <c r="M177" s="14" t="s">
        <v>24</v>
      </c>
      <c r="N177" s="17">
        <v>0</v>
      </c>
      <c r="O177" s="29">
        <v>0</v>
      </c>
      <c r="P177" s="29">
        <v>0</v>
      </c>
      <c r="Q177" s="18">
        <v>231.84</v>
      </c>
      <c r="R177" s="18">
        <v>0</v>
      </c>
      <c r="S177" s="39">
        <f t="shared" si="4"/>
        <v>231.84</v>
      </c>
      <c r="T177" s="20" t="s">
        <v>24</v>
      </c>
      <c r="U177" s="20" t="s">
        <v>24</v>
      </c>
      <c r="V177" s="39">
        <v>0</v>
      </c>
      <c r="W177" s="36">
        <v>45948</v>
      </c>
      <c r="X177" s="55"/>
      <c r="Y177" s="21" t="s">
        <v>29</v>
      </c>
    </row>
    <row r="178" spans="1:28" s="12" customFormat="1" ht="14.25" customHeight="1" x14ac:dyDescent="0.25">
      <c r="A178" s="38">
        <v>45940</v>
      </c>
      <c r="B178" s="22" t="s">
        <v>24</v>
      </c>
      <c r="C178" s="15" t="s">
        <v>59</v>
      </c>
      <c r="D178" s="23" t="s">
        <v>25</v>
      </c>
      <c r="E178" s="62" t="s">
        <v>258</v>
      </c>
      <c r="F178" s="63" t="s">
        <v>259</v>
      </c>
      <c r="G178" s="63" t="s">
        <v>364</v>
      </c>
      <c r="H178" s="14" t="s">
        <v>43</v>
      </c>
      <c r="I178" s="15" t="s">
        <v>44</v>
      </c>
      <c r="J178" s="14" t="s">
        <v>24</v>
      </c>
      <c r="K178" s="25" t="s">
        <v>42</v>
      </c>
      <c r="L178" s="16">
        <v>45943</v>
      </c>
      <c r="M178" s="14" t="s">
        <v>24</v>
      </c>
      <c r="N178" s="17">
        <v>0</v>
      </c>
      <c r="O178" s="29">
        <v>0</v>
      </c>
      <c r="P178" s="29">
        <v>0</v>
      </c>
      <c r="Q178" s="18">
        <v>174.16</v>
      </c>
      <c r="R178" s="18">
        <v>0</v>
      </c>
      <c r="S178" s="39">
        <f t="shared" si="4"/>
        <v>174.16</v>
      </c>
      <c r="T178" s="20" t="s">
        <v>24</v>
      </c>
      <c r="U178" s="20" t="s">
        <v>24</v>
      </c>
      <c r="V178" s="39">
        <v>0</v>
      </c>
      <c r="W178" s="36">
        <v>45950</v>
      </c>
      <c r="X178" s="55"/>
      <c r="Y178" s="21" t="s">
        <v>29</v>
      </c>
    </row>
    <row r="179" spans="1:28" s="12" customFormat="1" x14ac:dyDescent="0.25">
      <c r="A179" s="38">
        <v>45941</v>
      </c>
      <c r="B179" s="22">
        <v>45948</v>
      </c>
      <c r="C179" s="24" t="s">
        <v>36</v>
      </c>
      <c r="D179" s="21" t="s">
        <v>25</v>
      </c>
      <c r="E179" s="64" t="s">
        <v>235</v>
      </c>
      <c r="F179" s="65" t="s">
        <v>218</v>
      </c>
      <c r="G179" s="65" t="s">
        <v>365</v>
      </c>
      <c r="H179" s="14" t="s">
        <v>38</v>
      </c>
      <c r="I179" s="31" t="s">
        <v>27</v>
      </c>
      <c r="J179" s="14" t="s">
        <v>24</v>
      </c>
      <c r="K179" s="25" t="s">
        <v>48</v>
      </c>
      <c r="L179" s="16">
        <v>45944</v>
      </c>
      <c r="M179" s="14" t="s">
        <v>24</v>
      </c>
      <c r="N179" s="17">
        <v>84</v>
      </c>
      <c r="O179" s="29">
        <v>235.84</v>
      </c>
      <c r="P179" s="29">
        <v>368.73</v>
      </c>
      <c r="Q179" s="18">
        <v>0</v>
      </c>
      <c r="R179" s="18">
        <v>12648.19</v>
      </c>
      <c r="S179" s="39">
        <f t="shared" si="4"/>
        <v>-12648.19</v>
      </c>
      <c r="T179" s="20" t="s">
        <v>24</v>
      </c>
      <c r="U179" s="20" t="s">
        <v>24</v>
      </c>
      <c r="V179" s="39">
        <v>0</v>
      </c>
      <c r="W179" s="36" t="s">
        <v>24</v>
      </c>
      <c r="X179" s="55"/>
      <c r="Y179" s="21"/>
      <c r="AA179"/>
      <c r="AB179"/>
    </row>
    <row r="180" spans="1:28" s="12" customFormat="1" ht="14.25" customHeight="1" x14ac:dyDescent="0.25">
      <c r="A180" s="38">
        <v>45943</v>
      </c>
      <c r="B180" s="22">
        <v>45950</v>
      </c>
      <c r="C180" s="24" t="s">
        <v>36</v>
      </c>
      <c r="D180" s="21" t="s">
        <v>25</v>
      </c>
      <c r="E180" s="62" t="s">
        <v>111</v>
      </c>
      <c r="F180" s="63" t="s">
        <v>112</v>
      </c>
      <c r="G180" s="63" t="s">
        <v>366</v>
      </c>
      <c r="H180" s="14" t="s">
        <v>31</v>
      </c>
      <c r="I180" s="31" t="s">
        <v>27</v>
      </c>
      <c r="J180" s="14" t="s">
        <v>24</v>
      </c>
      <c r="K180" s="25" t="s">
        <v>49</v>
      </c>
      <c r="L180" s="16">
        <v>45946</v>
      </c>
      <c r="M180" s="14" t="s">
        <v>24</v>
      </c>
      <c r="N180" s="17">
        <v>58</v>
      </c>
      <c r="O180" s="29">
        <v>299.27999999999997</v>
      </c>
      <c r="P180" s="29">
        <v>368.73</v>
      </c>
      <c r="Q180" s="18">
        <v>12648.19</v>
      </c>
      <c r="R180" s="18">
        <v>0</v>
      </c>
      <c r="S180" s="39">
        <f>Q180-R180</f>
        <v>12648.19</v>
      </c>
      <c r="T180" s="20" t="s">
        <v>24</v>
      </c>
      <c r="U180" s="20" t="s">
        <v>24</v>
      </c>
      <c r="V180" s="39">
        <v>0</v>
      </c>
      <c r="W180" s="36" t="s">
        <v>24</v>
      </c>
      <c r="X180" s="55"/>
      <c r="Y180" s="21" t="s">
        <v>29</v>
      </c>
    </row>
    <row r="181" spans="1:28" s="12" customFormat="1" x14ac:dyDescent="0.25">
      <c r="A181" s="33">
        <v>45945</v>
      </c>
      <c r="B181" s="13" t="s">
        <v>24</v>
      </c>
      <c r="C181" s="15" t="s">
        <v>33</v>
      </c>
      <c r="D181" s="15" t="s">
        <v>25</v>
      </c>
      <c r="E181" s="64" t="s">
        <v>114</v>
      </c>
      <c r="F181" s="65" t="s">
        <v>115</v>
      </c>
      <c r="G181" s="65" t="s">
        <v>367</v>
      </c>
      <c r="H181" s="14" t="s">
        <v>31</v>
      </c>
      <c r="I181" s="31" t="s">
        <v>40</v>
      </c>
      <c r="J181" s="14" t="s">
        <v>24</v>
      </c>
      <c r="K181" s="14" t="s">
        <v>41</v>
      </c>
      <c r="L181" s="16">
        <v>45948</v>
      </c>
      <c r="M181" s="14" t="s">
        <v>24</v>
      </c>
      <c r="N181" s="26">
        <v>56</v>
      </c>
      <c r="O181" s="29">
        <v>0</v>
      </c>
      <c r="P181" s="51">
        <v>494.7</v>
      </c>
      <c r="Q181" s="60">
        <v>0</v>
      </c>
      <c r="R181" s="27">
        <v>0</v>
      </c>
      <c r="S181" s="27">
        <f t="shared" ref="S181" si="5">Q181-R181</f>
        <v>0</v>
      </c>
      <c r="T181" s="20" t="s">
        <v>24</v>
      </c>
      <c r="U181" s="20" t="s">
        <v>24</v>
      </c>
      <c r="V181" s="39">
        <v>0</v>
      </c>
      <c r="W181" s="22" t="s">
        <v>24</v>
      </c>
      <c r="X181" s="55"/>
      <c r="Y181" s="21" t="s">
        <v>29</v>
      </c>
      <c r="AA181"/>
      <c r="AB181"/>
    </row>
    <row r="182" spans="1:28" s="12" customFormat="1" x14ac:dyDescent="0.25">
      <c r="A182" s="38">
        <v>45946</v>
      </c>
      <c r="B182" s="22" t="s">
        <v>24</v>
      </c>
      <c r="C182" s="15" t="s">
        <v>59</v>
      </c>
      <c r="D182" s="23" t="s">
        <v>25</v>
      </c>
      <c r="E182" s="62" t="s">
        <v>235</v>
      </c>
      <c r="F182" s="63" t="s">
        <v>218</v>
      </c>
      <c r="G182" s="63" t="s">
        <v>368</v>
      </c>
      <c r="H182" s="14" t="s">
        <v>30</v>
      </c>
      <c r="I182" s="31" t="s">
        <v>40</v>
      </c>
      <c r="J182" s="14" t="s">
        <v>24</v>
      </c>
      <c r="K182" s="25" t="s">
        <v>48</v>
      </c>
      <c r="L182" s="16">
        <v>45949</v>
      </c>
      <c r="M182" s="14" t="s">
        <v>24</v>
      </c>
      <c r="N182" s="17">
        <v>84</v>
      </c>
      <c r="O182" s="29">
        <v>341</v>
      </c>
      <c r="P182" s="29">
        <v>430.48</v>
      </c>
      <c r="Q182" s="18">
        <v>16440.400000000001</v>
      </c>
      <c r="R182" s="18">
        <v>16154.86</v>
      </c>
      <c r="S182" s="18">
        <f>Q182-R182</f>
        <v>285.54000000000087</v>
      </c>
      <c r="T182" s="20" t="s">
        <v>24</v>
      </c>
      <c r="U182" s="20" t="s">
        <v>24</v>
      </c>
      <c r="V182" s="39">
        <v>0</v>
      </c>
      <c r="W182" s="36" t="s">
        <v>24</v>
      </c>
      <c r="X182" s="55"/>
      <c r="Y182" s="21" t="s">
        <v>29</v>
      </c>
      <c r="AA182"/>
      <c r="AB182"/>
    </row>
    <row r="183" spans="1:28" s="12" customFormat="1" ht="14.25" customHeight="1" x14ac:dyDescent="0.25">
      <c r="A183" s="38">
        <v>45948</v>
      </c>
      <c r="B183" s="22">
        <v>45955</v>
      </c>
      <c r="C183" s="15" t="s">
        <v>59</v>
      </c>
      <c r="D183" s="21" t="s">
        <v>25</v>
      </c>
      <c r="E183" s="64" t="s">
        <v>142</v>
      </c>
      <c r="F183" s="65" t="s">
        <v>143</v>
      </c>
      <c r="G183" s="65" t="s">
        <v>369</v>
      </c>
      <c r="H183" s="14" t="s">
        <v>38</v>
      </c>
      <c r="I183" s="15" t="s">
        <v>39</v>
      </c>
      <c r="J183" s="14" t="s">
        <v>24</v>
      </c>
      <c r="K183" s="25" t="s">
        <v>48</v>
      </c>
      <c r="L183" s="16">
        <v>45951</v>
      </c>
      <c r="M183" s="14" t="s">
        <v>24</v>
      </c>
      <c r="N183" s="17">
        <v>84</v>
      </c>
      <c r="O183" s="29">
        <v>261</v>
      </c>
      <c r="P183" s="29">
        <v>380.77</v>
      </c>
      <c r="Q183" s="18">
        <v>13135.12</v>
      </c>
      <c r="R183" s="18">
        <v>12974.59</v>
      </c>
      <c r="S183" s="39">
        <f t="shared" ref="S183:S227" si="6">Q183-R183</f>
        <v>160.53000000000065</v>
      </c>
      <c r="T183" s="20" t="s">
        <v>24</v>
      </c>
      <c r="U183" s="20" t="s">
        <v>24</v>
      </c>
      <c r="V183" s="39">
        <v>0</v>
      </c>
      <c r="W183" s="36" t="s">
        <v>24</v>
      </c>
      <c r="X183" s="55"/>
      <c r="Y183" s="21" t="s">
        <v>29</v>
      </c>
    </row>
    <row r="184" spans="1:28" s="12" customFormat="1" ht="14.25" customHeight="1" x14ac:dyDescent="0.25">
      <c r="A184" s="38">
        <v>45950</v>
      </c>
      <c r="B184" s="22">
        <v>45957</v>
      </c>
      <c r="C184" s="15" t="s">
        <v>59</v>
      </c>
      <c r="D184" s="21" t="s">
        <v>25</v>
      </c>
      <c r="E184" s="62" t="s">
        <v>119</v>
      </c>
      <c r="F184" s="63" t="s">
        <v>120</v>
      </c>
      <c r="G184" s="63" t="s">
        <v>370</v>
      </c>
      <c r="H184" s="14" t="s">
        <v>31</v>
      </c>
      <c r="I184" s="15" t="s">
        <v>39</v>
      </c>
      <c r="J184" s="14" t="s">
        <v>24</v>
      </c>
      <c r="K184" s="25" t="s">
        <v>49</v>
      </c>
      <c r="L184" s="16">
        <v>45953</v>
      </c>
      <c r="M184" s="14" t="s">
        <v>24</v>
      </c>
      <c r="N184" s="26">
        <v>57</v>
      </c>
      <c r="O184" s="29">
        <v>328.5</v>
      </c>
      <c r="P184" s="29">
        <v>380.77</v>
      </c>
      <c r="Q184" s="27">
        <v>12974.59</v>
      </c>
      <c r="R184" s="27">
        <v>0</v>
      </c>
      <c r="S184" s="40">
        <f t="shared" si="6"/>
        <v>12974.59</v>
      </c>
      <c r="T184" s="20" t="s">
        <v>24</v>
      </c>
      <c r="U184" s="20" t="s">
        <v>24</v>
      </c>
      <c r="V184" s="39">
        <v>0</v>
      </c>
      <c r="W184" s="22" t="s">
        <v>24</v>
      </c>
      <c r="X184" s="55"/>
      <c r="Y184" s="21" t="s">
        <v>29</v>
      </c>
    </row>
    <row r="185" spans="1:28" s="12" customFormat="1" ht="14.25" customHeight="1" x14ac:dyDescent="0.25">
      <c r="A185" s="38">
        <v>45951</v>
      </c>
      <c r="B185" s="22" t="s">
        <v>24</v>
      </c>
      <c r="C185" s="24" t="s">
        <v>33</v>
      </c>
      <c r="D185" s="23" t="s">
        <v>25</v>
      </c>
      <c r="E185" s="64" t="s">
        <v>122</v>
      </c>
      <c r="F185" s="65" t="s">
        <v>123</v>
      </c>
      <c r="G185" s="65" t="s">
        <v>371</v>
      </c>
      <c r="H185" s="14" t="s">
        <v>38</v>
      </c>
      <c r="I185" s="31" t="s">
        <v>27</v>
      </c>
      <c r="J185" s="14" t="s">
        <v>24</v>
      </c>
      <c r="K185" s="25" t="s">
        <v>45</v>
      </c>
      <c r="L185" s="16">
        <v>45954</v>
      </c>
      <c r="M185" s="14" t="s">
        <v>24</v>
      </c>
      <c r="N185" s="26">
        <v>84</v>
      </c>
      <c r="O185" s="29">
        <v>242.46</v>
      </c>
      <c r="P185" s="29">
        <v>401.03</v>
      </c>
      <c r="Q185" s="27">
        <v>0</v>
      </c>
      <c r="R185" s="27">
        <v>12537.43</v>
      </c>
      <c r="S185" s="40">
        <f t="shared" si="6"/>
        <v>-12537.43</v>
      </c>
      <c r="T185" s="20" t="s">
        <v>24</v>
      </c>
      <c r="U185" s="20" t="s">
        <v>24</v>
      </c>
      <c r="V185" s="39">
        <v>0</v>
      </c>
      <c r="W185" s="22" t="s">
        <v>24</v>
      </c>
      <c r="X185" s="55"/>
      <c r="Y185" s="21" t="s">
        <v>29</v>
      </c>
    </row>
    <row r="186" spans="1:28" s="12" customFormat="1" ht="14.25" customHeight="1" x14ac:dyDescent="0.25">
      <c r="A186" s="38">
        <v>45953</v>
      </c>
      <c r="B186" s="22" t="s">
        <v>24</v>
      </c>
      <c r="C186" s="24" t="s">
        <v>33</v>
      </c>
      <c r="D186" s="23" t="s">
        <v>25</v>
      </c>
      <c r="E186" s="62" t="s">
        <v>125</v>
      </c>
      <c r="F186" s="63" t="s">
        <v>126</v>
      </c>
      <c r="G186" s="63" t="s">
        <v>372</v>
      </c>
      <c r="H186" s="14" t="s">
        <v>31</v>
      </c>
      <c r="I186" s="31" t="s">
        <v>27</v>
      </c>
      <c r="J186" s="14" t="s">
        <v>24</v>
      </c>
      <c r="K186" s="25" t="s">
        <v>45</v>
      </c>
      <c r="L186" s="16">
        <v>45956</v>
      </c>
      <c r="M186" s="14" t="s">
        <v>24</v>
      </c>
      <c r="N186" s="26">
        <v>44</v>
      </c>
      <c r="O186" s="29">
        <v>372.69</v>
      </c>
      <c r="P186" s="29">
        <v>401.03</v>
      </c>
      <c r="Q186" s="27">
        <v>12537.43</v>
      </c>
      <c r="R186" s="27">
        <v>0</v>
      </c>
      <c r="S186" s="40">
        <f t="shared" si="6"/>
        <v>12537.43</v>
      </c>
      <c r="T186" s="20" t="s">
        <v>24</v>
      </c>
      <c r="U186" s="20" t="s">
        <v>24</v>
      </c>
      <c r="V186" s="39">
        <v>0</v>
      </c>
      <c r="W186" s="22" t="s">
        <v>24</v>
      </c>
      <c r="X186" s="55"/>
      <c r="Y186" s="21" t="s">
        <v>29</v>
      </c>
    </row>
    <row r="187" spans="1:28" s="12" customFormat="1" ht="14.25" customHeight="1" x14ac:dyDescent="0.25">
      <c r="A187" s="38">
        <v>45955</v>
      </c>
      <c r="B187" s="22">
        <v>45962</v>
      </c>
      <c r="C187" s="15" t="s">
        <v>59</v>
      </c>
      <c r="D187" s="23" t="s">
        <v>25</v>
      </c>
      <c r="E187" s="64" t="s">
        <v>128</v>
      </c>
      <c r="F187" s="65" t="s">
        <v>129</v>
      </c>
      <c r="G187" s="65" t="s">
        <v>373</v>
      </c>
      <c r="H187" s="14" t="s">
        <v>38</v>
      </c>
      <c r="I187" s="15" t="s">
        <v>39</v>
      </c>
      <c r="J187" s="14" t="s">
        <v>24</v>
      </c>
      <c r="K187" s="25" t="s">
        <v>48</v>
      </c>
      <c r="L187" s="16">
        <v>45958</v>
      </c>
      <c r="M187" s="14" t="s">
        <v>24</v>
      </c>
      <c r="N187" s="26">
        <v>84</v>
      </c>
      <c r="O187" s="29">
        <v>404.5</v>
      </c>
      <c r="P187" s="29">
        <v>610.76</v>
      </c>
      <c r="Q187" s="29">
        <v>19850</v>
      </c>
      <c r="R187" s="29">
        <v>19700</v>
      </c>
      <c r="S187" s="53">
        <f t="shared" si="6"/>
        <v>150</v>
      </c>
      <c r="T187" s="20" t="s">
        <v>24</v>
      </c>
      <c r="U187" s="20" t="s">
        <v>24</v>
      </c>
      <c r="V187" s="39">
        <v>0</v>
      </c>
      <c r="W187" s="22" t="s">
        <v>24</v>
      </c>
      <c r="X187" s="55"/>
      <c r="Y187" s="21" t="s">
        <v>29</v>
      </c>
    </row>
    <row r="188" spans="1:28" s="12" customFormat="1" ht="14.25" customHeight="1" x14ac:dyDescent="0.25">
      <c r="A188" s="38">
        <v>45956</v>
      </c>
      <c r="B188" s="22">
        <v>45963</v>
      </c>
      <c r="C188" s="15" t="s">
        <v>59</v>
      </c>
      <c r="D188" s="23" t="s">
        <v>25</v>
      </c>
      <c r="E188" s="62" t="s">
        <v>87</v>
      </c>
      <c r="F188" s="63" t="s">
        <v>88</v>
      </c>
      <c r="G188" s="63" t="s">
        <v>374</v>
      </c>
      <c r="H188" s="14" t="s">
        <v>31</v>
      </c>
      <c r="I188" s="15" t="s">
        <v>39</v>
      </c>
      <c r="J188" s="14" t="s">
        <v>24</v>
      </c>
      <c r="K188" s="25" t="s">
        <v>49</v>
      </c>
      <c r="L188" s="16">
        <v>45959</v>
      </c>
      <c r="M188" s="14" t="s">
        <v>24</v>
      </c>
      <c r="N188" s="26">
        <v>31</v>
      </c>
      <c r="O188" s="29">
        <v>775.69</v>
      </c>
      <c r="P188" s="29">
        <v>610.76</v>
      </c>
      <c r="Q188" s="29">
        <v>19700</v>
      </c>
      <c r="R188" s="29">
        <v>0</v>
      </c>
      <c r="S188" s="53">
        <f t="shared" si="6"/>
        <v>19700</v>
      </c>
      <c r="T188" s="20" t="s">
        <v>24</v>
      </c>
      <c r="U188" s="20" t="s">
        <v>24</v>
      </c>
      <c r="V188" s="39">
        <v>0</v>
      </c>
      <c r="W188" s="22" t="s">
        <v>24</v>
      </c>
      <c r="X188" s="55"/>
      <c r="Y188" s="21" t="s">
        <v>29</v>
      </c>
    </row>
    <row r="189" spans="1:28" s="12" customFormat="1" ht="14.25" customHeight="1" x14ac:dyDescent="0.25">
      <c r="A189" s="38">
        <v>45958</v>
      </c>
      <c r="B189" s="22" t="s">
        <v>24</v>
      </c>
      <c r="C189" s="24" t="s">
        <v>33</v>
      </c>
      <c r="D189" s="23" t="s">
        <v>25</v>
      </c>
      <c r="E189" s="64" t="s">
        <v>277</v>
      </c>
      <c r="F189" s="65" t="s">
        <v>240</v>
      </c>
      <c r="G189" s="65" t="s">
        <v>375</v>
      </c>
      <c r="H189" s="14" t="s">
        <v>30</v>
      </c>
      <c r="I189" s="15" t="s">
        <v>54</v>
      </c>
      <c r="J189" s="14" t="s">
        <v>24</v>
      </c>
      <c r="K189" s="25" t="s">
        <v>34</v>
      </c>
      <c r="L189" s="22" t="s">
        <v>24</v>
      </c>
      <c r="M189" s="14" t="s">
        <v>24</v>
      </c>
      <c r="N189" s="26">
        <v>84</v>
      </c>
      <c r="O189" s="29">
        <v>452</v>
      </c>
      <c r="P189" s="29">
        <v>542.53</v>
      </c>
      <c r="Q189" s="29">
        <v>0</v>
      </c>
      <c r="R189" s="29">
        <v>0</v>
      </c>
      <c r="S189" s="53">
        <f t="shared" si="6"/>
        <v>0</v>
      </c>
      <c r="T189" s="20" t="s">
        <v>24</v>
      </c>
      <c r="U189" s="20" t="s">
        <v>24</v>
      </c>
      <c r="V189" s="39">
        <v>0</v>
      </c>
      <c r="W189" s="22" t="s">
        <v>24</v>
      </c>
      <c r="X189" s="55"/>
      <c r="Y189" s="21" t="s">
        <v>29</v>
      </c>
    </row>
    <row r="190" spans="1:28" s="12" customFormat="1" ht="14.25" customHeight="1" x14ac:dyDescent="0.25">
      <c r="A190" s="38">
        <v>45960</v>
      </c>
      <c r="B190" s="13" t="s">
        <v>24</v>
      </c>
      <c r="C190" s="15" t="s">
        <v>33</v>
      </c>
      <c r="D190" s="15" t="s">
        <v>25</v>
      </c>
      <c r="E190" s="62" t="s">
        <v>90</v>
      </c>
      <c r="F190" s="63" t="s">
        <v>91</v>
      </c>
      <c r="G190" s="63" t="s">
        <v>376</v>
      </c>
      <c r="H190" s="14" t="s">
        <v>30</v>
      </c>
      <c r="I190" s="15" t="s">
        <v>54</v>
      </c>
      <c r="J190" s="14" t="s">
        <v>24</v>
      </c>
      <c r="K190" s="25" t="s">
        <v>34</v>
      </c>
      <c r="L190" s="22" t="s">
        <v>24</v>
      </c>
      <c r="M190" s="14" t="s">
        <v>24</v>
      </c>
      <c r="N190" s="26">
        <v>84</v>
      </c>
      <c r="O190" s="29">
        <v>146</v>
      </c>
      <c r="P190" s="29">
        <v>174.81</v>
      </c>
      <c r="Q190" s="29">
        <v>0</v>
      </c>
      <c r="R190" s="29">
        <v>0</v>
      </c>
      <c r="S190" s="53">
        <f t="shared" si="6"/>
        <v>0</v>
      </c>
      <c r="T190" s="20" t="s">
        <v>24</v>
      </c>
      <c r="U190" s="20" t="s">
        <v>24</v>
      </c>
      <c r="V190" s="39">
        <v>0</v>
      </c>
      <c r="W190" s="22" t="s">
        <v>24</v>
      </c>
      <c r="X190" s="55"/>
      <c r="Y190" s="21" t="s">
        <v>29</v>
      </c>
    </row>
    <row r="191" spans="1:28" s="12" customFormat="1" ht="14.25" customHeight="1" x14ac:dyDescent="0.25">
      <c r="A191" s="38">
        <v>45962</v>
      </c>
      <c r="B191" s="13" t="s">
        <v>24</v>
      </c>
      <c r="C191" s="15" t="s">
        <v>33</v>
      </c>
      <c r="D191" s="15" t="s">
        <v>25</v>
      </c>
      <c r="E191" s="64" t="s">
        <v>108</v>
      </c>
      <c r="F191" s="65" t="s">
        <v>109</v>
      </c>
      <c r="G191" s="65" t="s">
        <v>377</v>
      </c>
      <c r="H191" s="14" t="s">
        <v>51</v>
      </c>
      <c r="I191" s="15" t="s">
        <v>54</v>
      </c>
      <c r="J191" s="14" t="s">
        <v>24</v>
      </c>
      <c r="K191" s="25" t="s">
        <v>34</v>
      </c>
      <c r="L191" s="22" t="s">
        <v>24</v>
      </c>
      <c r="M191" s="14" t="s">
        <v>24</v>
      </c>
      <c r="N191" s="26">
        <v>84</v>
      </c>
      <c r="O191" s="29">
        <v>0</v>
      </c>
      <c r="P191" s="29">
        <v>109.7</v>
      </c>
      <c r="Q191" s="29">
        <v>0</v>
      </c>
      <c r="R191" s="29">
        <v>0</v>
      </c>
      <c r="S191" s="53">
        <f t="shared" si="6"/>
        <v>0</v>
      </c>
      <c r="T191" s="20" t="s">
        <v>24</v>
      </c>
      <c r="U191" s="20" t="s">
        <v>24</v>
      </c>
      <c r="V191" s="39">
        <v>0</v>
      </c>
      <c r="W191" s="22" t="s">
        <v>24</v>
      </c>
      <c r="X191" s="55"/>
      <c r="Y191" s="21" t="s">
        <v>29</v>
      </c>
    </row>
    <row r="192" spans="1:28" s="12" customFormat="1" ht="14.25" customHeight="1" x14ac:dyDescent="0.25">
      <c r="A192" s="38">
        <v>45963</v>
      </c>
      <c r="B192" s="13" t="s">
        <v>24</v>
      </c>
      <c r="C192" s="15" t="s">
        <v>33</v>
      </c>
      <c r="D192" s="15" t="s">
        <v>25</v>
      </c>
      <c r="E192" s="62" t="s">
        <v>281</v>
      </c>
      <c r="F192" s="63" t="s">
        <v>282</v>
      </c>
      <c r="G192" s="63" t="s">
        <v>378</v>
      </c>
      <c r="H192" s="14" t="s">
        <v>26</v>
      </c>
      <c r="I192" s="15" t="s">
        <v>54</v>
      </c>
      <c r="J192" s="14" t="s">
        <v>24</v>
      </c>
      <c r="K192" s="25" t="s">
        <v>34</v>
      </c>
      <c r="L192" s="22" t="s">
        <v>24</v>
      </c>
      <c r="M192" s="14" t="s">
        <v>24</v>
      </c>
      <c r="N192" s="26">
        <v>84</v>
      </c>
      <c r="O192" s="29">
        <v>0</v>
      </c>
      <c r="P192" s="29">
        <v>90.5</v>
      </c>
      <c r="Q192" s="29">
        <v>0</v>
      </c>
      <c r="R192" s="29">
        <v>0</v>
      </c>
      <c r="S192" s="53">
        <f t="shared" si="6"/>
        <v>0</v>
      </c>
      <c r="T192" s="20" t="s">
        <v>24</v>
      </c>
      <c r="U192" s="20" t="s">
        <v>24</v>
      </c>
      <c r="V192" s="39">
        <v>0</v>
      </c>
      <c r="W192" s="22" t="s">
        <v>24</v>
      </c>
      <c r="X192" s="55"/>
      <c r="Y192" s="21" t="s">
        <v>29</v>
      </c>
    </row>
    <row r="193" spans="1:25" s="12" customFormat="1" ht="14.25" customHeight="1" x14ac:dyDescent="0.25">
      <c r="A193" s="38">
        <v>45965</v>
      </c>
      <c r="B193" s="13" t="s">
        <v>24</v>
      </c>
      <c r="C193" s="15" t="s">
        <v>33</v>
      </c>
      <c r="D193" s="15" t="s">
        <v>25</v>
      </c>
      <c r="E193" s="64" t="s">
        <v>284</v>
      </c>
      <c r="F193" s="65" t="s">
        <v>285</v>
      </c>
      <c r="G193" s="65" t="s">
        <v>379</v>
      </c>
      <c r="H193" s="14" t="s">
        <v>26</v>
      </c>
      <c r="I193" s="15" t="s">
        <v>54</v>
      </c>
      <c r="J193" s="14" t="s">
        <v>24</v>
      </c>
      <c r="K193" s="25" t="s">
        <v>34</v>
      </c>
      <c r="L193" s="22" t="s">
        <v>24</v>
      </c>
      <c r="M193" s="14" t="s">
        <v>24</v>
      </c>
      <c r="N193" s="26">
        <v>84</v>
      </c>
      <c r="O193" s="29">
        <v>0</v>
      </c>
      <c r="P193" s="29">
        <v>28</v>
      </c>
      <c r="Q193" s="29">
        <v>0</v>
      </c>
      <c r="R193" s="29">
        <v>0</v>
      </c>
      <c r="S193" s="53">
        <f t="shared" si="6"/>
        <v>0</v>
      </c>
      <c r="T193" s="20" t="s">
        <v>24</v>
      </c>
      <c r="U193" s="20" t="s">
        <v>24</v>
      </c>
      <c r="V193" s="39">
        <v>0</v>
      </c>
      <c r="W193" s="22" t="s">
        <v>24</v>
      </c>
      <c r="X193" s="55"/>
      <c r="Y193" s="21" t="s">
        <v>29</v>
      </c>
    </row>
    <row r="194" spans="1:25" s="12" customFormat="1" ht="14.25" customHeight="1" x14ac:dyDescent="0.25">
      <c r="A194" s="38">
        <v>45966</v>
      </c>
      <c r="B194" s="13" t="s">
        <v>24</v>
      </c>
      <c r="C194" s="15" t="s">
        <v>33</v>
      </c>
      <c r="D194" s="15" t="s">
        <v>25</v>
      </c>
      <c r="E194" s="62" t="s">
        <v>287</v>
      </c>
      <c r="F194" s="63" t="s">
        <v>288</v>
      </c>
      <c r="G194" s="63" t="s">
        <v>380</v>
      </c>
      <c r="H194" s="14" t="s">
        <v>38</v>
      </c>
      <c r="I194" s="31" t="s">
        <v>27</v>
      </c>
      <c r="J194" s="14" t="s">
        <v>24</v>
      </c>
      <c r="K194" s="25" t="s">
        <v>45</v>
      </c>
      <c r="L194" s="16">
        <v>45969</v>
      </c>
      <c r="M194" s="14" t="s">
        <v>24</v>
      </c>
      <c r="N194" s="26">
        <v>84</v>
      </c>
      <c r="O194" s="29">
        <v>260.94</v>
      </c>
      <c r="P194" s="29">
        <v>450.48</v>
      </c>
      <c r="Q194" s="29">
        <v>0</v>
      </c>
      <c r="R194" s="27">
        <v>14537.41</v>
      </c>
      <c r="S194" s="53">
        <f t="shared" si="6"/>
        <v>-14537.41</v>
      </c>
      <c r="T194" s="20" t="s">
        <v>24</v>
      </c>
      <c r="U194" s="20" t="s">
        <v>24</v>
      </c>
      <c r="V194" s="39">
        <v>0</v>
      </c>
      <c r="W194" s="22" t="s">
        <v>24</v>
      </c>
      <c r="X194" s="55"/>
      <c r="Y194" s="21" t="s">
        <v>29</v>
      </c>
    </row>
    <row r="195" spans="1:25" s="12" customFormat="1" ht="14.25" customHeight="1" x14ac:dyDescent="0.25">
      <c r="A195" s="38">
        <v>45968</v>
      </c>
      <c r="B195" s="13" t="s">
        <v>24</v>
      </c>
      <c r="C195" s="15" t="s">
        <v>33</v>
      </c>
      <c r="D195" s="15" t="s">
        <v>25</v>
      </c>
      <c r="E195" s="64" t="s">
        <v>146</v>
      </c>
      <c r="F195" s="65" t="s">
        <v>147</v>
      </c>
      <c r="G195" s="65" t="s">
        <v>381</v>
      </c>
      <c r="H195" s="14" t="s">
        <v>31</v>
      </c>
      <c r="I195" s="31" t="s">
        <v>27</v>
      </c>
      <c r="J195" s="14" t="s">
        <v>24</v>
      </c>
      <c r="K195" s="25" t="s">
        <v>45</v>
      </c>
      <c r="L195" s="16">
        <v>45971</v>
      </c>
      <c r="M195" s="14" t="s">
        <v>24</v>
      </c>
      <c r="N195" s="26">
        <v>43</v>
      </c>
      <c r="O195" s="29">
        <v>421.66</v>
      </c>
      <c r="P195" s="29">
        <v>450.48</v>
      </c>
      <c r="Q195" s="27">
        <v>14537.41</v>
      </c>
      <c r="R195" s="27">
        <v>0</v>
      </c>
      <c r="S195" s="40">
        <f t="shared" si="6"/>
        <v>14537.41</v>
      </c>
      <c r="T195" s="20" t="s">
        <v>24</v>
      </c>
      <c r="U195" s="20" t="s">
        <v>24</v>
      </c>
      <c r="V195" s="39">
        <v>0</v>
      </c>
      <c r="W195" s="22" t="s">
        <v>24</v>
      </c>
      <c r="X195" s="55"/>
      <c r="Y195" s="21" t="s">
        <v>29</v>
      </c>
    </row>
    <row r="196" spans="1:25" s="12" customFormat="1" ht="14.25" customHeight="1" x14ac:dyDescent="0.25">
      <c r="A196" s="38">
        <v>45970</v>
      </c>
      <c r="B196" s="13">
        <v>45977</v>
      </c>
      <c r="C196" s="15" t="s">
        <v>60</v>
      </c>
      <c r="D196" s="23" t="s">
        <v>25</v>
      </c>
      <c r="E196" s="62" t="s">
        <v>84</v>
      </c>
      <c r="F196" s="63" t="s">
        <v>85</v>
      </c>
      <c r="G196" s="63" t="s">
        <v>382</v>
      </c>
      <c r="H196" s="14" t="s">
        <v>38</v>
      </c>
      <c r="I196" s="24" t="s">
        <v>40</v>
      </c>
      <c r="J196" s="14" t="s">
        <v>24</v>
      </c>
      <c r="K196" s="25" t="s">
        <v>48</v>
      </c>
      <c r="L196" s="16">
        <v>45973</v>
      </c>
      <c r="M196" s="14" t="s">
        <v>24</v>
      </c>
      <c r="N196" s="26">
        <v>84</v>
      </c>
      <c r="O196" s="29">
        <v>368</v>
      </c>
      <c r="P196" s="35">
        <v>476.86</v>
      </c>
      <c r="Q196" s="27">
        <v>19005.259999999998</v>
      </c>
      <c r="R196" s="27">
        <v>18755.259999999998</v>
      </c>
      <c r="S196" s="40">
        <f t="shared" si="6"/>
        <v>250</v>
      </c>
      <c r="T196" s="20" t="s">
        <v>24</v>
      </c>
      <c r="U196" s="20" t="s">
        <v>24</v>
      </c>
      <c r="V196" s="39">
        <v>0</v>
      </c>
      <c r="W196" s="22" t="s">
        <v>24</v>
      </c>
      <c r="X196" s="55"/>
      <c r="Y196" s="21"/>
    </row>
    <row r="197" spans="1:25" s="12" customFormat="1" ht="14.25" customHeight="1" x14ac:dyDescent="0.25">
      <c r="A197" s="38">
        <v>45971</v>
      </c>
      <c r="B197" s="13">
        <v>45978</v>
      </c>
      <c r="C197" s="15" t="s">
        <v>60</v>
      </c>
      <c r="D197" s="23" t="s">
        <v>25</v>
      </c>
      <c r="E197" s="64" t="s">
        <v>87</v>
      </c>
      <c r="F197" s="65" t="s">
        <v>88</v>
      </c>
      <c r="G197" s="65" t="s">
        <v>383</v>
      </c>
      <c r="H197" s="14" t="s">
        <v>31</v>
      </c>
      <c r="I197" s="24" t="s">
        <v>40</v>
      </c>
      <c r="J197" s="14" t="s">
        <v>24</v>
      </c>
      <c r="K197" s="25" t="s">
        <v>49</v>
      </c>
      <c r="L197" s="16">
        <v>45974</v>
      </c>
      <c r="M197" s="14" t="s">
        <v>24</v>
      </c>
      <c r="N197" s="26">
        <v>58</v>
      </c>
      <c r="O197" s="29">
        <v>470.4</v>
      </c>
      <c r="P197" s="35">
        <v>476.86</v>
      </c>
      <c r="Q197" s="27">
        <v>18755.259999999998</v>
      </c>
      <c r="R197" s="27">
        <v>0</v>
      </c>
      <c r="S197" s="40">
        <f t="shared" si="6"/>
        <v>18755.259999999998</v>
      </c>
      <c r="T197" s="20" t="s">
        <v>24</v>
      </c>
      <c r="U197" s="20" t="s">
        <v>24</v>
      </c>
      <c r="V197" s="39">
        <v>0</v>
      </c>
      <c r="W197" s="22" t="s">
        <v>24</v>
      </c>
      <c r="X197" s="56"/>
      <c r="Y197" s="45" t="s">
        <v>29</v>
      </c>
    </row>
    <row r="198" spans="1:25" s="55" customFormat="1" ht="14.25" customHeight="1" x14ac:dyDescent="0.25">
      <c r="A198" s="16">
        <v>45973</v>
      </c>
      <c r="B198" s="13" t="s">
        <v>24</v>
      </c>
      <c r="C198" s="15" t="s">
        <v>60</v>
      </c>
      <c r="D198" s="23" t="s">
        <v>25</v>
      </c>
      <c r="E198" s="62" t="s">
        <v>155</v>
      </c>
      <c r="F198" s="63" t="s">
        <v>156</v>
      </c>
      <c r="G198" s="63" t="s">
        <v>384</v>
      </c>
      <c r="H198" s="23" t="s">
        <v>51</v>
      </c>
      <c r="I198" s="23" t="s">
        <v>39</v>
      </c>
      <c r="J198" s="14" t="s">
        <v>24</v>
      </c>
      <c r="K198" s="25" t="s">
        <v>34</v>
      </c>
      <c r="L198" s="16">
        <v>45976</v>
      </c>
      <c r="M198" s="14" t="s">
        <v>24</v>
      </c>
      <c r="N198" s="26">
        <v>84</v>
      </c>
      <c r="O198" s="29">
        <v>0</v>
      </c>
      <c r="P198" s="29">
        <v>32.729999999999997</v>
      </c>
      <c r="Q198" s="29">
        <v>0</v>
      </c>
      <c r="R198" s="27">
        <v>0</v>
      </c>
      <c r="S198" s="40">
        <f t="shared" si="6"/>
        <v>0</v>
      </c>
      <c r="T198" s="20" t="s">
        <v>24</v>
      </c>
      <c r="U198" s="20" t="s">
        <v>24</v>
      </c>
      <c r="V198" s="39">
        <v>0</v>
      </c>
      <c r="W198" s="22" t="s">
        <v>24</v>
      </c>
      <c r="X198" s="57"/>
    </row>
    <row r="199" spans="1:25" s="12" customFormat="1" ht="14.25" customHeight="1" x14ac:dyDescent="0.25">
      <c r="A199" s="16">
        <v>45974</v>
      </c>
      <c r="B199" s="13" t="s">
        <v>24</v>
      </c>
      <c r="C199" s="15" t="s">
        <v>60</v>
      </c>
      <c r="D199" s="23" t="s">
        <v>25</v>
      </c>
      <c r="E199" s="64" t="s">
        <v>99</v>
      </c>
      <c r="F199" s="65" t="s">
        <v>100</v>
      </c>
      <c r="G199" s="65" t="s">
        <v>385</v>
      </c>
      <c r="H199" s="14" t="s">
        <v>38</v>
      </c>
      <c r="I199" s="23" t="s">
        <v>39</v>
      </c>
      <c r="J199" s="14" t="s">
        <v>24</v>
      </c>
      <c r="K199" s="25" t="s">
        <v>34</v>
      </c>
      <c r="L199" s="16">
        <v>45977</v>
      </c>
      <c r="M199" s="14" t="s">
        <v>24</v>
      </c>
      <c r="N199" s="26">
        <v>0</v>
      </c>
      <c r="O199" s="29">
        <v>519</v>
      </c>
      <c r="P199" s="29">
        <v>666.63</v>
      </c>
      <c r="Q199" s="29">
        <v>0</v>
      </c>
      <c r="R199" s="27">
        <v>0</v>
      </c>
      <c r="S199" s="40">
        <f t="shared" si="6"/>
        <v>0</v>
      </c>
      <c r="T199" s="20" t="s">
        <v>24</v>
      </c>
      <c r="U199" s="20" t="s">
        <v>24</v>
      </c>
      <c r="V199" s="39">
        <v>0</v>
      </c>
      <c r="W199" s="22" t="s">
        <v>24</v>
      </c>
      <c r="X199" s="58"/>
      <c r="Y199" s="54" t="s">
        <v>29</v>
      </c>
    </row>
    <row r="200" spans="1:25" s="12" customFormat="1" ht="14.25" customHeight="1" x14ac:dyDescent="0.25">
      <c r="A200" s="16">
        <v>45976</v>
      </c>
      <c r="B200" s="13" t="s">
        <v>24</v>
      </c>
      <c r="C200" s="15" t="s">
        <v>60</v>
      </c>
      <c r="D200" s="23" t="s">
        <v>25</v>
      </c>
      <c r="E200" s="62" t="s">
        <v>161</v>
      </c>
      <c r="F200" s="63" t="s">
        <v>162</v>
      </c>
      <c r="G200" s="63" t="s">
        <v>386</v>
      </c>
      <c r="H200" s="14" t="s">
        <v>31</v>
      </c>
      <c r="I200" s="23" t="s">
        <v>39</v>
      </c>
      <c r="J200" s="14" t="s">
        <v>24</v>
      </c>
      <c r="K200" s="25" t="s">
        <v>34</v>
      </c>
      <c r="L200" s="16">
        <v>45979</v>
      </c>
      <c r="M200" s="14" t="s">
        <v>24</v>
      </c>
      <c r="N200" s="26">
        <v>0</v>
      </c>
      <c r="O200" s="29">
        <v>663.51</v>
      </c>
      <c r="P200" s="29">
        <v>666.63</v>
      </c>
      <c r="Q200" s="29">
        <v>0</v>
      </c>
      <c r="R200" s="27">
        <v>0</v>
      </c>
      <c r="S200" s="40">
        <f t="shared" si="6"/>
        <v>0</v>
      </c>
      <c r="T200" s="20" t="s">
        <v>24</v>
      </c>
      <c r="U200" s="20" t="s">
        <v>24</v>
      </c>
      <c r="V200" s="39">
        <v>0</v>
      </c>
      <c r="W200" s="22" t="s">
        <v>24</v>
      </c>
      <c r="X200" s="55"/>
      <c r="Y200" s="21" t="s">
        <v>29</v>
      </c>
    </row>
    <row r="201" spans="1:25" s="12" customFormat="1" ht="14.25" customHeight="1" x14ac:dyDescent="0.25">
      <c r="A201" s="16">
        <v>45978</v>
      </c>
      <c r="B201" s="13" t="s">
        <v>24</v>
      </c>
      <c r="C201" s="15" t="s">
        <v>59</v>
      </c>
      <c r="D201" s="23" t="s">
        <v>25</v>
      </c>
      <c r="E201" s="64" t="s">
        <v>258</v>
      </c>
      <c r="F201" s="65" t="s">
        <v>259</v>
      </c>
      <c r="G201" s="65" t="s">
        <v>387</v>
      </c>
      <c r="H201" s="14" t="s">
        <v>30</v>
      </c>
      <c r="I201" s="24" t="s">
        <v>40</v>
      </c>
      <c r="J201" s="14" t="s">
        <v>24</v>
      </c>
      <c r="K201" s="25" t="s">
        <v>28</v>
      </c>
      <c r="L201" s="16">
        <v>45981</v>
      </c>
      <c r="M201" s="14" t="s">
        <v>24</v>
      </c>
      <c r="N201" s="26">
        <v>84</v>
      </c>
      <c r="O201" s="29">
        <v>896</v>
      </c>
      <c r="P201" s="29">
        <v>1000</v>
      </c>
      <c r="Q201" s="32">
        <v>0</v>
      </c>
      <c r="R201" s="27">
        <v>0</v>
      </c>
      <c r="S201" s="40">
        <f t="shared" si="6"/>
        <v>0</v>
      </c>
      <c r="T201" s="20" t="s">
        <v>24</v>
      </c>
      <c r="U201" s="20" t="s">
        <v>24</v>
      </c>
      <c r="V201" s="39">
        <v>0</v>
      </c>
      <c r="W201" s="22" t="s">
        <v>24</v>
      </c>
      <c r="X201" s="55"/>
      <c r="Y201" s="21" t="s">
        <v>29</v>
      </c>
    </row>
    <row r="202" spans="1:25" s="12" customFormat="1" ht="14.25" customHeight="1" x14ac:dyDescent="0.25">
      <c r="A202" s="38">
        <v>45979</v>
      </c>
      <c r="B202" s="13" t="s">
        <v>24</v>
      </c>
      <c r="C202" s="15" t="s">
        <v>60</v>
      </c>
      <c r="D202" s="23" t="s">
        <v>25</v>
      </c>
      <c r="E202" s="62" t="s">
        <v>165</v>
      </c>
      <c r="F202" s="63" t="s">
        <v>166</v>
      </c>
      <c r="G202" s="63" t="s">
        <v>388</v>
      </c>
      <c r="H202" s="14" t="s">
        <v>31</v>
      </c>
      <c r="I202" s="23" t="s">
        <v>39</v>
      </c>
      <c r="J202" s="14" t="s">
        <v>24</v>
      </c>
      <c r="K202" s="25" t="s">
        <v>48</v>
      </c>
      <c r="L202" s="16">
        <v>45982</v>
      </c>
      <c r="M202" s="14" t="s">
        <v>24</v>
      </c>
      <c r="N202" s="26">
        <v>29</v>
      </c>
      <c r="O202" s="29">
        <v>284.83999999999997</v>
      </c>
      <c r="P202" s="29">
        <v>305.8</v>
      </c>
      <c r="Q202" s="27">
        <v>6850.1</v>
      </c>
      <c r="R202" s="27">
        <v>0</v>
      </c>
      <c r="S202" s="40">
        <f t="shared" si="6"/>
        <v>6850.1</v>
      </c>
      <c r="T202" s="20" t="s">
        <v>24</v>
      </c>
      <c r="U202" s="20" t="s">
        <v>24</v>
      </c>
      <c r="V202" s="39">
        <v>0</v>
      </c>
      <c r="W202" s="22" t="s">
        <v>24</v>
      </c>
      <c r="X202" s="55"/>
      <c r="Y202" s="21" t="s">
        <v>29</v>
      </c>
    </row>
    <row r="203" spans="1:25" s="12" customFormat="1" ht="14.25" customHeight="1" x14ac:dyDescent="0.25">
      <c r="A203" s="38">
        <v>45981</v>
      </c>
      <c r="B203" s="13" t="s">
        <v>24</v>
      </c>
      <c r="C203" s="15" t="s">
        <v>59</v>
      </c>
      <c r="D203" s="23" t="s">
        <v>25</v>
      </c>
      <c r="E203" s="64" t="s">
        <v>277</v>
      </c>
      <c r="F203" s="65" t="s">
        <v>240</v>
      </c>
      <c r="G203" s="65" t="s">
        <v>389</v>
      </c>
      <c r="H203" s="14" t="s">
        <v>51</v>
      </c>
      <c r="I203" s="15" t="s">
        <v>55</v>
      </c>
      <c r="J203" s="14" t="s">
        <v>24</v>
      </c>
      <c r="K203" s="25" t="s">
        <v>48</v>
      </c>
      <c r="L203" s="16">
        <v>45984</v>
      </c>
      <c r="M203" s="14" t="s">
        <v>24</v>
      </c>
      <c r="N203" s="26">
        <v>84</v>
      </c>
      <c r="O203" s="29">
        <v>0</v>
      </c>
      <c r="P203" s="29">
        <v>44.66</v>
      </c>
      <c r="Q203" s="27">
        <v>1837.86</v>
      </c>
      <c r="R203" s="27">
        <v>0</v>
      </c>
      <c r="S203" s="40">
        <f t="shared" si="6"/>
        <v>1837.86</v>
      </c>
      <c r="T203" s="20" t="s">
        <v>24</v>
      </c>
      <c r="U203" s="20" t="s">
        <v>24</v>
      </c>
      <c r="V203" s="39">
        <v>0</v>
      </c>
      <c r="W203" s="22" t="s">
        <v>24</v>
      </c>
      <c r="X203" s="55"/>
      <c r="Y203" s="21" t="s">
        <v>29</v>
      </c>
    </row>
    <row r="204" spans="1:25" s="12" customFormat="1" ht="14.25" customHeight="1" x14ac:dyDescent="0.25">
      <c r="A204" s="38">
        <v>45983</v>
      </c>
      <c r="B204" s="13" t="s">
        <v>24</v>
      </c>
      <c r="C204" s="15" t="s">
        <v>59</v>
      </c>
      <c r="D204" s="23" t="s">
        <v>25</v>
      </c>
      <c r="E204" s="62" t="s">
        <v>277</v>
      </c>
      <c r="F204" s="63" t="s">
        <v>240</v>
      </c>
      <c r="G204" s="63" t="s">
        <v>390</v>
      </c>
      <c r="H204" s="14" t="s">
        <v>51</v>
      </c>
      <c r="I204" s="15" t="s">
        <v>55</v>
      </c>
      <c r="J204" s="14" t="s">
        <v>24</v>
      </c>
      <c r="K204" s="25" t="s">
        <v>48</v>
      </c>
      <c r="L204" s="16">
        <v>45986</v>
      </c>
      <c r="M204" s="14" t="s">
        <v>24</v>
      </c>
      <c r="N204" s="26">
        <v>84</v>
      </c>
      <c r="O204" s="29">
        <v>0</v>
      </c>
      <c r="P204" s="29">
        <v>27.4</v>
      </c>
      <c r="Q204" s="27">
        <v>1127.57</v>
      </c>
      <c r="R204" s="27">
        <v>0</v>
      </c>
      <c r="S204" s="40">
        <f t="shared" si="6"/>
        <v>1127.57</v>
      </c>
      <c r="T204" s="20" t="s">
        <v>24</v>
      </c>
      <c r="U204" s="20" t="s">
        <v>24</v>
      </c>
      <c r="V204" s="39">
        <v>0</v>
      </c>
      <c r="W204" s="22" t="s">
        <v>24</v>
      </c>
      <c r="X204" s="55"/>
      <c r="Y204" s="21" t="s">
        <v>29</v>
      </c>
    </row>
    <row r="205" spans="1:25" s="12" customFormat="1" ht="14.25" customHeight="1" x14ac:dyDescent="0.25">
      <c r="A205" s="38">
        <v>45984</v>
      </c>
      <c r="B205" s="13" t="s">
        <v>24</v>
      </c>
      <c r="C205" s="24" t="s">
        <v>33</v>
      </c>
      <c r="D205" s="23" t="s">
        <v>25</v>
      </c>
      <c r="E205" s="64" t="s">
        <v>302</v>
      </c>
      <c r="F205" s="65" t="s">
        <v>303</v>
      </c>
      <c r="G205" s="65" t="s">
        <v>391</v>
      </c>
      <c r="H205" s="14" t="s">
        <v>31</v>
      </c>
      <c r="I205" s="31" t="s">
        <v>40</v>
      </c>
      <c r="J205" s="14" t="s">
        <v>24</v>
      </c>
      <c r="K205" s="25" t="s">
        <v>41</v>
      </c>
      <c r="L205" s="16">
        <v>45987</v>
      </c>
      <c r="M205" s="14" t="s">
        <v>24</v>
      </c>
      <c r="N205" s="26">
        <v>43</v>
      </c>
      <c r="O205" s="29"/>
      <c r="P205" s="29">
        <v>488.74</v>
      </c>
      <c r="Q205" s="29">
        <v>0</v>
      </c>
      <c r="R205" s="27">
        <v>0</v>
      </c>
      <c r="S205" s="27">
        <f t="shared" si="6"/>
        <v>0</v>
      </c>
      <c r="T205" s="20" t="s">
        <v>24</v>
      </c>
      <c r="U205" s="20" t="s">
        <v>24</v>
      </c>
      <c r="V205" s="39">
        <v>0</v>
      </c>
      <c r="W205" s="22" t="s">
        <v>24</v>
      </c>
      <c r="X205" s="55"/>
      <c r="Y205" s="21" t="s">
        <v>29</v>
      </c>
    </row>
    <row r="206" spans="1:25" s="12" customFormat="1" ht="14.25" customHeight="1" x14ac:dyDescent="0.25">
      <c r="A206" s="38">
        <v>45986</v>
      </c>
      <c r="B206" s="13" t="s">
        <v>24</v>
      </c>
      <c r="C206" s="15" t="s">
        <v>60</v>
      </c>
      <c r="D206" s="23" t="s">
        <v>25</v>
      </c>
      <c r="E206" s="62" t="s">
        <v>175</v>
      </c>
      <c r="F206" s="63" t="s">
        <v>176</v>
      </c>
      <c r="G206" s="63" t="s">
        <v>392</v>
      </c>
      <c r="H206" s="14" t="s">
        <v>38</v>
      </c>
      <c r="I206" s="31" t="s">
        <v>40</v>
      </c>
      <c r="J206" s="14" t="s">
        <v>24</v>
      </c>
      <c r="K206" s="25" t="s">
        <v>41</v>
      </c>
      <c r="L206" s="16">
        <v>45989</v>
      </c>
      <c r="M206" s="14" t="s">
        <v>24</v>
      </c>
      <c r="N206" s="26">
        <v>84</v>
      </c>
      <c r="O206" s="29"/>
      <c r="P206" s="44">
        <v>757.47</v>
      </c>
      <c r="Q206" s="29">
        <v>0</v>
      </c>
      <c r="R206" s="27">
        <v>0</v>
      </c>
      <c r="S206" s="27">
        <f t="shared" si="6"/>
        <v>0</v>
      </c>
      <c r="T206" s="20" t="s">
        <v>24</v>
      </c>
      <c r="U206" s="20" t="s">
        <v>24</v>
      </c>
      <c r="V206" s="39">
        <v>0</v>
      </c>
      <c r="W206" s="22" t="s">
        <v>24</v>
      </c>
      <c r="X206" s="55"/>
      <c r="Y206" s="21"/>
    </row>
    <row r="207" spans="1:25" s="12" customFormat="1" ht="14.25" customHeight="1" x14ac:dyDescent="0.25">
      <c r="A207" s="38">
        <v>45987</v>
      </c>
      <c r="B207" s="13" t="s">
        <v>24</v>
      </c>
      <c r="C207" s="15" t="s">
        <v>60</v>
      </c>
      <c r="D207" s="23" t="s">
        <v>25</v>
      </c>
      <c r="E207" s="64" t="s">
        <v>178</v>
      </c>
      <c r="F207" s="65" t="s">
        <v>179</v>
      </c>
      <c r="G207" s="65" t="s">
        <v>393</v>
      </c>
      <c r="H207" s="14" t="s">
        <v>31</v>
      </c>
      <c r="I207" s="31" t="s">
        <v>40</v>
      </c>
      <c r="J207" s="14" t="s">
        <v>24</v>
      </c>
      <c r="K207" s="25" t="s">
        <v>41</v>
      </c>
      <c r="L207" s="16">
        <v>45990</v>
      </c>
      <c r="M207" s="14" t="s">
        <v>24</v>
      </c>
      <c r="N207" s="26">
        <v>38</v>
      </c>
      <c r="O207" s="29"/>
      <c r="P207" s="44">
        <v>757.47</v>
      </c>
      <c r="Q207" s="29">
        <v>0</v>
      </c>
      <c r="R207" s="27">
        <v>0</v>
      </c>
      <c r="S207" s="27">
        <f t="shared" si="6"/>
        <v>0</v>
      </c>
      <c r="T207" s="20" t="s">
        <v>24</v>
      </c>
      <c r="U207" s="20" t="s">
        <v>24</v>
      </c>
      <c r="V207" s="39">
        <v>0</v>
      </c>
      <c r="W207" s="22" t="s">
        <v>24</v>
      </c>
      <c r="X207" s="55"/>
      <c r="Y207" s="21" t="s">
        <v>29</v>
      </c>
    </row>
    <row r="208" spans="1:25" s="12" customFormat="1" ht="14.25" customHeight="1" x14ac:dyDescent="0.25">
      <c r="A208" s="38">
        <v>45989</v>
      </c>
      <c r="B208" s="13" t="s">
        <v>24</v>
      </c>
      <c r="C208" s="15" t="s">
        <v>59</v>
      </c>
      <c r="D208" s="23" t="s">
        <v>25</v>
      </c>
      <c r="E208" s="62" t="s">
        <v>181</v>
      </c>
      <c r="F208" s="63" t="s">
        <v>182</v>
      </c>
      <c r="G208" s="63" t="s">
        <v>394</v>
      </c>
      <c r="H208" s="14" t="s">
        <v>51</v>
      </c>
      <c r="I208" s="31" t="s">
        <v>27</v>
      </c>
      <c r="J208" s="14" t="s">
        <v>24</v>
      </c>
      <c r="K208" s="25" t="s">
        <v>32</v>
      </c>
      <c r="L208" s="16">
        <v>45992</v>
      </c>
      <c r="M208" s="14" t="s">
        <v>24</v>
      </c>
      <c r="N208" s="17">
        <v>84</v>
      </c>
      <c r="O208" s="29">
        <v>0</v>
      </c>
      <c r="P208" s="29">
        <v>57.07</v>
      </c>
      <c r="Q208" s="18">
        <v>2836.43</v>
      </c>
      <c r="R208" s="18">
        <v>0</v>
      </c>
      <c r="S208" s="39">
        <f t="shared" si="6"/>
        <v>2836.43</v>
      </c>
      <c r="T208" s="20" t="s">
        <v>24</v>
      </c>
      <c r="U208" s="20" t="s">
        <v>24</v>
      </c>
      <c r="V208" s="39">
        <v>0</v>
      </c>
      <c r="W208" s="36" t="s">
        <v>24</v>
      </c>
      <c r="X208" s="55"/>
      <c r="Y208" s="21" t="s">
        <v>29</v>
      </c>
    </row>
    <row r="209" spans="1:25" s="12" customFormat="1" ht="14.25" customHeight="1" x14ac:dyDescent="0.25">
      <c r="A209" s="38">
        <v>45991</v>
      </c>
      <c r="B209" s="13" t="s">
        <v>24</v>
      </c>
      <c r="C209" s="15" t="s">
        <v>59</v>
      </c>
      <c r="D209" s="23" t="s">
        <v>25</v>
      </c>
      <c r="E209" s="64" t="s">
        <v>75</v>
      </c>
      <c r="F209" s="65" t="s">
        <v>76</v>
      </c>
      <c r="G209" s="65" t="s">
        <v>395</v>
      </c>
      <c r="H209" s="14" t="s">
        <v>43</v>
      </c>
      <c r="I209" s="31" t="s">
        <v>27</v>
      </c>
      <c r="J209" s="14" t="s">
        <v>24</v>
      </c>
      <c r="K209" s="25" t="s">
        <v>41</v>
      </c>
      <c r="L209" s="16">
        <v>45994</v>
      </c>
      <c r="M209" s="14" t="s">
        <v>24</v>
      </c>
      <c r="N209" s="26">
        <v>84</v>
      </c>
      <c r="O209" s="29">
        <v>0</v>
      </c>
      <c r="P209" s="29">
        <v>0</v>
      </c>
      <c r="Q209" s="29">
        <v>0</v>
      </c>
      <c r="R209" s="27">
        <v>0</v>
      </c>
      <c r="S209" s="40">
        <f t="shared" si="6"/>
        <v>0</v>
      </c>
      <c r="T209" s="20" t="s">
        <v>24</v>
      </c>
      <c r="U209" s="20" t="s">
        <v>24</v>
      </c>
      <c r="V209" s="39">
        <v>0</v>
      </c>
      <c r="W209" s="22" t="s">
        <v>24</v>
      </c>
      <c r="X209" s="55"/>
      <c r="Y209" s="21" t="s">
        <v>29</v>
      </c>
    </row>
    <row r="210" spans="1:25" s="12" customFormat="1" ht="14.25" customHeight="1" x14ac:dyDescent="0.25">
      <c r="A210" s="38">
        <v>45992</v>
      </c>
      <c r="B210" s="13" t="s">
        <v>24</v>
      </c>
      <c r="C210" s="15" t="s">
        <v>59</v>
      </c>
      <c r="D210" s="23" t="s">
        <v>25</v>
      </c>
      <c r="E210" s="62" t="s">
        <v>396</v>
      </c>
      <c r="F210" s="63" t="s">
        <v>397</v>
      </c>
      <c r="G210" s="63" t="s">
        <v>398</v>
      </c>
      <c r="H210" s="14" t="s">
        <v>56</v>
      </c>
      <c r="I210" s="31" t="s">
        <v>27</v>
      </c>
      <c r="J210" s="14" t="s">
        <v>24</v>
      </c>
      <c r="K210" s="25" t="s">
        <v>41</v>
      </c>
      <c r="L210" s="16">
        <v>45995</v>
      </c>
      <c r="M210" s="14" t="s">
        <v>24</v>
      </c>
      <c r="N210" s="26">
        <v>84</v>
      </c>
      <c r="O210" s="29">
        <v>0</v>
      </c>
      <c r="P210" s="29">
        <v>0</v>
      </c>
      <c r="Q210" s="29">
        <v>0</v>
      </c>
      <c r="R210" s="27">
        <v>0</v>
      </c>
      <c r="S210" s="40">
        <f t="shared" si="6"/>
        <v>0</v>
      </c>
      <c r="T210" s="20" t="s">
        <v>24</v>
      </c>
      <c r="U210" s="20" t="s">
        <v>24</v>
      </c>
      <c r="V210" s="39">
        <v>0</v>
      </c>
      <c r="W210" s="22" t="s">
        <v>24</v>
      </c>
      <c r="X210" s="55"/>
      <c r="Y210" s="21" t="s">
        <v>29</v>
      </c>
    </row>
    <row r="211" spans="1:25" s="12" customFormat="1" ht="14.25" customHeight="1" x14ac:dyDescent="0.25">
      <c r="A211" s="38">
        <v>45994</v>
      </c>
      <c r="B211" s="13" t="s">
        <v>24</v>
      </c>
      <c r="C211" s="15" t="s">
        <v>59</v>
      </c>
      <c r="D211" s="23" t="s">
        <v>25</v>
      </c>
      <c r="E211" s="64" t="s">
        <v>188</v>
      </c>
      <c r="F211" s="65" t="s">
        <v>189</v>
      </c>
      <c r="G211" s="65" t="s">
        <v>399</v>
      </c>
      <c r="H211" s="14" t="s">
        <v>38</v>
      </c>
      <c r="I211" s="31" t="s">
        <v>27</v>
      </c>
      <c r="J211" s="14" t="s">
        <v>24</v>
      </c>
      <c r="K211" s="25" t="s">
        <v>32</v>
      </c>
      <c r="L211" s="16">
        <v>45997</v>
      </c>
      <c r="M211" s="14" t="s">
        <v>24</v>
      </c>
      <c r="N211" s="17">
        <v>84</v>
      </c>
      <c r="O211" s="29">
        <v>74.47</v>
      </c>
      <c r="P211" s="29">
        <v>385.99</v>
      </c>
      <c r="Q211" s="18">
        <v>4028</v>
      </c>
      <c r="R211" s="18">
        <v>3928</v>
      </c>
      <c r="S211" s="39">
        <f t="shared" si="6"/>
        <v>100</v>
      </c>
      <c r="T211" s="20" t="s">
        <v>24</v>
      </c>
      <c r="U211" s="20" t="s">
        <v>24</v>
      </c>
      <c r="V211" s="39">
        <v>0</v>
      </c>
      <c r="W211" s="36" t="s">
        <v>24</v>
      </c>
      <c r="X211" s="55"/>
      <c r="Y211" s="21" t="s">
        <v>29</v>
      </c>
    </row>
    <row r="212" spans="1:25" s="12" customFormat="1" ht="14.25" customHeight="1" x14ac:dyDescent="0.25">
      <c r="A212" s="38">
        <v>45996</v>
      </c>
      <c r="B212" s="13" t="s">
        <v>24</v>
      </c>
      <c r="C212" s="15" t="s">
        <v>59</v>
      </c>
      <c r="D212" s="23" t="s">
        <v>25</v>
      </c>
      <c r="E212" s="62" t="s">
        <v>191</v>
      </c>
      <c r="F212" s="63" t="s">
        <v>64</v>
      </c>
      <c r="G212" s="63" t="s">
        <v>400</v>
      </c>
      <c r="H212" s="14" t="s">
        <v>31</v>
      </c>
      <c r="I212" s="31" t="s">
        <v>27</v>
      </c>
      <c r="J212" s="14" t="s">
        <v>24</v>
      </c>
      <c r="K212" s="25" t="s">
        <v>32</v>
      </c>
      <c r="L212" s="16">
        <v>45999</v>
      </c>
      <c r="M212" s="14" t="s">
        <v>24</v>
      </c>
      <c r="N212" s="17">
        <v>84</v>
      </c>
      <c r="O212" s="29">
        <v>384.72</v>
      </c>
      <c r="P212" s="29">
        <v>385.99</v>
      </c>
      <c r="Q212" s="18">
        <v>3928</v>
      </c>
      <c r="R212" s="18">
        <v>0</v>
      </c>
      <c r="S212" s="39">
        <f t="shared" si="6"/>
        <v>3928</v>
      </c>
      <c r="T212" s="20" t="s">
        <v>24</v>
      </c>
      <c r="U212" s="20" t="s">
        <v>24</v>
      </c>
      <c r="V212" s="39">
        <v>0</v>
      </c>
      <c r="W212" s="36" t="s">
        <v>24</v>
      </c>
      <c r="X212" s="55"/>
      <c r="Y212" s="21" t="s">
        <v>29</v>
      </c>
    </row>
    <row r="213" spans="1:25" s="12" customFormat="1" x14ac:dyDescent="0.25">
      <c r="A213" s="49" t="s">
        <v>24</v>
      </c>
      <c r="B213" s="13" t="s">
        <v>24</v>
      </c>
      <c r="C213" s="15" t="s">
        <v>59</v>
      </c>
      <c r="D213" s="23" t="s">
        <v>25</v>
      </c>
      <c r="E213" s="64" t="s">
        <v>122</v>
      </c>
      <c r="F213" s="65" t="s">
        <v>123</v>
      </c>
      <c r="G213" s="65" t="s">
        <v>401</v>
      </c>
      <c r="H213" s="14" t="s">
        <v>30</v>
      </c>
      <c r="I213" s="15" t="s">
        <v>40</v>
      </c>
      <c r="J213" s="14" t="s">
        <v>24</v>
      </c>
      <c r="K213" s="25" t="s">
        <v>41</v>
      </c>
      <c r="L213" s="16">
        <v>45999</v>
      </c>
      <c r="M213" s="14" t="s">
        <v>24</v>
      </c>
      <c r="N213" s="26">
        <v>84</v>
      </c>
      <c r="O213" s="29">
        <v>0</v>
      </c>
      <c r="P213" s="29">
        <v>1000</v>
      </c>
      <c r="Q213" s="32">
        <v>0</v>
      </c>
      <c r="R213" s="27">
        <v>0</v>
      </c>
      <c r="S213" s="40">
        <f t="shared" si="6"/>
        <v>0</v>
      </c>
      <c r="T213" s="20" t="s">
        <v>24</v>
      </c>
      <c r="U213" s="20" t="s">
        <v>24</v>
      </c>
      <c r="V213" s="39">
        <v>0</v>
      </c>
      <c r="W213" s="22" t="s">
        <v>24</v>
      </c>
      <c r="X213" s="55"/>
      <c r="Y213" s="21" t="s">
        <v>29</v>
      </c>
    </row>
    <row r="214" spans="1:25" s="12" customFormat="1" ht="14.25" customHeight="1" x14ac:dyDescent="0.25">
      <c r="A214" s="28">
        <v>45997</v>
      </c>
      <c r="B214" s="13" t="s">
        <v>24</v>
      </c>
      <c r="C214" s="15" t="s">
        <v>60</v>
      </c>
      <c r="D214" s="15" t="s">
        <v>25</v>
      </c>
      <c r="E214" s="62" t="s">
        <v>402</v>
      </c>
      <c r="F214" s="63" t="s">
        <v>249</v>
      </c>
      <c r="G214" s="63" t="s">
        <v>403</v>
      </c>
      <c r="H214" s="14" t="s">
        <v>31</v>
      </c>
      <c r="I214" s="15" t="s">
        <v>27</v>
      </c>
      <c r="J214" s="14" t="s">
        <v>24</v>
      </c>
      <c r="K214" s="14" t="s">
        <v>32</v>
      </c>
      <c r="L214" s="16">
        <v>46000</v>
      </c>
      <c r="M214" s="14" t="s">
        <v>24</v>
      </c>
      <c r="N214" s="26">
        <v>42</v>
      </c>
      <c r="O214" s="29">
        <v>394.43</v>
      </c>
      <c r="P214" s="29">
        <v>397.71</v>
      </c>
      <c r="Q214" s="32">
        <v>13100</v>
      </c>
      <c r="R214" s="27">
        <v>0</v>
      </c>
      <c r="S214" s="27">
        <f t="shared" si="6"/>
        <v>13100</v>
      </c>
      <c r="T214" s="20" t="s">
        <v>24</v>
      </c>
      <c r="U214" s="20" t="s">
        <v>24</v>
      </c>
      <c r="V214" s="39">
        <v>0</v>
      </c>
      <c r="W214" s="36" t="s">
        <v>24</v>
      </c>
      <c r="X214" s="55"/>
      <c r="Y214" s="21" t="s">
        <v>29</v>
      </c>
    </row>
    <row r="215" spans="1:25" s="12" customFormat="1" ht="14.25" customHeight="1" x14ac:dyDescent="0.25">
      <c r="A215" s="28">
        <v>45999</v>
      </c>
      <c r="B215" s="13" t="s">
        <v>24</v>
      </c>
      <c r="C215" s="15" t="s">
        <v>60</v>
      </c>
      <c r="D215" s="23" t="s">
        <v>25</v>
      </c>
      <c r="E215" s="64" t="s">
        <v>196</v>
      </c>
      <c r="F215" s="65" t="s">
        <v>73</v>
      </c>
      <c r="G215" s="65" t="s">
        <v>404</v>
      </c>
      <c r="H215" s="14" t="s">
        <v>31</v>
      </c>
      <c r="I215" s="15" t="s">
        <v>40</v>
      </c>
      <c r="J215" s="14" t="s">
        <v>24</v>
      </c>
      <c r="K215" s="25" t="s">
        <v>48</v>
      </c>
      <c r="L215" s="16">
        <v>46002</v>
      </c>
      <c r="M215" s="14" t="s">
        <v>24</v>
      </c>
      <c r="N215" s="17">
        <v>23</v>
      </c>
      <c r="O215" s="29">
        <v>349.73</v>
      </c>
      <c r="P215" s="29">
        <v>386.74</v>
      </c>
      <c r="Q215" s="18">
        <v>6949.11</v>
      </c>
      <c r="R215" s="18">
        <v>0</v>
      </c>
      <c r="S215" s="39">
        <f t="shared" si="6"/>
        <v>6949.11</v>
      </c>
      <c r="T215" s="20" t="s">
        <v>24</v>
      </c>
      <c r="U215" s="20" t="s">
        <v>24</v>
      </c>
      <c r="V215" s="39">
        <v>0</v>
      </c>
      <c r="W215" s="36" t="s">
        <v>24</v>
      </c>
      <c r="X215" s="55"/>
      <c r="Y215" s="21" t="s">
        <v>29</v>
      </c>
    </row>
    <row r="216" spans="1:25" s="12" customFormat="1" ht="14.25" customHeight="1" x14ac:dyDescent="0.25">
      <c r="A216" s="28">
        <v>46001</v>
      </c>
      <c r="B216" s="13" t="s">
        <v>24</v>
      </c>
      <c r="C216" s="24" t="s">
        <v>35</v>
      </c>
      <c r="D216" s="23" t="s">
        <v>25</v>
      </c>
      <c r="E216" s="62" t="s">
        <v>111</v>
      </c>
      <c r="F216" s="63" t="s">
        <v>112</v>
      </c>
      <c r="G216" s="63" t="s">
        <v>405</v>
      </c>
      <c r="H216" s="14" t="s">
        <v>38</v>
      </c>
      <c r="I216" s="15" t="s">
        <v>27</v>
      </c>
      <c r="J216" s="14" t="s">
        <v>24</v>
      </c>
      <c r="K216" s="14" t="s">
        <v>32</v>
      </c>
      <c r="L216" s="16">
        <v>46004</v>
      </c>
      <c r="M216" s="14" t="s">
        <v>24</v>
      </c>
      <c r="N216" s="17">
        <v>72</v>
      </c>
      <c r="O216" s="29">
        <v>748.06</v>
      </c>
      <c r="P216" s="29">
        <v>1224.06</v>
      </c>
      <c r="Q216" s="18">
        <v>36284.379999999997</v>
      </c>
      <c r="R216" s="18">
        <v>36584.379999999997</v>
      </c>
      <c r="S216" s="39">
        <f t="shared" si="6"/>
        <v>-300</v>
      </c>
      <c r="T216" s="20" t="s">
        <v>24</v>
      </c>
      <c r="U216" s="20" t="s">
        <v>24</v>
      </c>
      <c r="V216" s="39">
        <v>0</v>
      </c>
      <c r="W216" s="36" t="s">
        <v>24</v>
      </c>
      <c r="X216" s="55"/>
      <c r="Y216" s="21" t="s">
        <v>29</v>
      </c>
    </row>
    <row r="217" spans="1:25" s="12" customFormat="1" ht="14.25" customHeight="1" x14ac:dyDescent="0.25">
      <c r="A217" s="28">
        <v>46002</v>
      </c>
      <c r="B217" s="13" t="s">
        <v>24</v>
      </c>
      <c r="C217" s="24" t="s">
        <v>35</v>
      </c>
      <c r="D217" s="23" t="s">
        <v>25</v>
      </c>
      <c r="E217" s="64" t="s">
        <v>316</v>
      </c>
      <c r="F217" s="65" t="s">
        <v>79</v>
      </c>
      <c r="G217" s="65" t="s">
        <v>406</v>
      </c>
      <c r="H217" s="14" t="s">
        <v>31</v>
      </c>
      <c r="I217" s="15" t="s">
        <v>27</v>
      </c>
      <c r="J217" s="14" t="s">
        <v>24</v>
      </c>
      <c r="K217" s="14" t="s">
        <v>32</v>
      </c>
      <c r="L217" s="16">
        <v>46005</v>
      </c>
      <c r="M217" s="14" t="s">
        <v>24</v>
      </c>
      <c r="N217" s="17">
        <v>37</v>
      </c>
      <c r="O217" s="29">
        <v>1219.3699999999999</v>
      </c>
      <c r="P217" s="29">
        <v>1224.06</v>
      </c>
      <c r="Q217" s="18">
        <v>36284.379999999997</v>
      </c>
      <c r="R217" s="18">
        <v>0</v>
      </c>
      <c r="S217" s="39">
        <f t="shared" si="6"/>
        <v>36284.379999999997</v>
      </c>
      <c r="T217" s="20" t="s">
        <v>24</v>
      </c>
      <c r="U217" s="20" t="s">
        <v>24</v>
      </c>
      <c r="V217" s="39">
        <v>0</v>
      </c>
      <c r="W217" s="36" t="s">
        <v>24</v>
      </c>
      <c r="X217" s="55"/>
      <c r="Y217" s="21" t="s">
        <v>29</v>
      </c>
    </row>
    <row r="218" spans="1:25" s="12" customFormat="1" ht="14.25" customHeight="1" x14ac:dyDescent="0.25">
      <c r="A218" s="28">
        <v>46004</v>
      </c>
      <c r="B218" s="13" t="s">
        <v>24</v>
      </c>
      <c r="C218" s="24" t="s">
        <v>35</v>
      </c>
      <c r="D218" s="23" t="s">
        <v>25</v>
      </c>
      <c r="E218" s="62" t="s">
        <v>201</v>
      </c>
      <c r="F218" s="63" t="s">
        <v>82</v>
      </c>
      <c r="G218" s="63" t="s">
        <v>407</v>
      </c>
      <c r="H218" s="14" t="s">
        <v>26</v>
      </c>
      <c r="I218" s="15" t="s">
        <v>27</v>
      </c>
      <c r="J218" s="14" t="s">
        <v>24</v>
      </c>
      <c r="K218" s="14" t="s">
        <v>32</v>
      </c>
      <c r="L218" s="16">
        <v>46007</v>
      </c>
      <c r="M218" s="14" t="s">
        <v>24</v>
      </c>
      <c r="N218" s="17">
        <v>84</v>
      </c>
      <c r="O218" s="29">
        <v>0</v>
      </c>
      <c r="P218" s="29">
        <v>476</v>
      </c>
      <c r="Q218" s="18">
        <v>18269.419999999998</v>
      </c>
      <c r="R218" s="18">
        <v>0</v>
      </c>
      <c r="S218" s="39">
        <f t="shared" si="6"/>
        <v>18269.419999999998</v>
      </c>
      <c r="T218" s="20" t="s">
        <v>24</v>
      </c>
      <c r="U218" s="20" t="s">
        <v>24</v>
      </c>
      <c r="V218" s="39">
        <v>0</v>
      </c>
      <c r="W218" s="36" t="s">
        <v>24</v>
      </c>
      <c r="X218" s="55"/>
      <c r="Y218" s="21" t="s">
        <v>29</v>
      </c>
    </row>
    <row r="219" spans="1:25" s="12" customFormat="1" ht="14.25" customHeight="1" x14ac:dyDescent="0.25">
      <c r="A219" s="28">
        <v>46006</v>
      </c>
      <c r="B219" s="13" t="s">
        <v>24</v>
      </c>
      <c r="C219" s="15" t="s">
        <v>60</v>
      </c>
      <c r="D219" s="23" t="s">
        <v>25</v>
      </c>
      <c r="E219" s="64" t="s">
        <v>104</v>
      </c>
      <c r="F219" s="65" t="s">
        <v>105</v>
      </c>
      <c r="G219" s="65" t="s">
        <v>408</v>
      </c>
      <c r="H219" s="14" t="s">
        <v>51</v>
      </c>
      <c r="I219" s="23" t="s">
        <v>39</v>
      </c>
      <c r="J219" s="14" t="s">
        <v>24</v>
      </c>
      <c r="K219" s="14" t="s">
        <v>32</v>
      </c>
      <c r="L219" s="16">
        <v>46009</v>
      </c>
      <c r="M219" s="14" t="s">
        <v>24</v>
      </c>
      <c r="N219" s="17">
        <v>84</v>
      </c>
      <c r="O219" s="29">
        <v>0</v>
      </c>
      <c r="P219" s="29">
        <v>66.69</v>
      </c>
      <c r="Q219" s="18">
        <v>2722.77</v>
      </c>
      <c r="R219" s="18">
        <v>0</v>
      </c>
      <c r="S219" s="39">
        <f t="shared" si="6"/>
        <v>2722.77</v>
      </c>
      <c r="T219" s="20" t="s">
        <v>24</v>
      </c>
      <c r="U219" s="20" t="s">
        <v>24</v>
      </c>
      <c r="V219" s="39">
        <v>0</v>
      </c>
      <c r="W219" s="36" t="s">
        <v>24</v>
      </c>
      <c r="X219" s="55"/>
      <c r="Y219" s="21" t="s">
        <v>29</v>
      </c>
    </row>
    <row r="220" spans="1:25" s="12" customFormat="1" ht="14.25" customHeight="1" x14ac:dyDescent="0.25">
      <c r="A220" s="38">
        <v>46007</v>
      </c>
      <c r="B220" s="13" t="s">
        <v>24</v>
      </c>
      <c r="C220" s="24" t="s">
        <v>35</v>
      </c>
      <c r="D220" s="23" t="s">
        <v>25</v>
      </c>
      <c r="E220" s="62" t="s">
        <v>93</v>
      </c>
      <c r="F220" s="63" t="s">
        <v>94</v>
      </c>
      <c r="G220" s="63" t="s">
        <v>409</v>
      </c>
      <c r="H220" s="14" t="s">
        <v>57</v>
      </c>
      <c r="I220" s="15" t="s">
        <v>55</v>
      </c>
      <c r="J220" s="14" t="s">
        <v>24</v>
      </c>
      <c r="K220" s="25" t="s">
        <v>48</v>
      </c>
      <c r="L220" s="16">
        <v>46010</v>
      </c>
      <c r="M220" s="14" t="s">
        <v>24</v>
      </c>
      <c r="N220" s="17">
        <v>84</v>
      </c>
      <c r="O220" s="29">
        <v>0</v>
      </c>
      <c r="P220" s="29">
        <v>89.4</v>
      </c>
      <c r="Q220" s="18">
        <v>3682.04</v>
      </c>
      <c r="R220" s="18">
        <v>0</v>
      </c>
      <c r="S220" s="39">
        <f t="shared" si="6"/>
        <v>3682.04</v>
      </c>
      <c r="T220" s="20" t="s">
        <v>24</v>
      </c>
      <c r="U220" s="20" t="s">
        <v>24</v>
      </c>
      <c r="V220" s="39">
        <v>0</v>
      </c>
      <c r="W220" s="36" t="s">
        <v>24</v>
      </c>
      <c r="X220" s="55"/>
      <c r="Y220" s="21" t="s">
        <v>29</v>
      </c>
    </row>
    <row r="221" spans="1:25" s="12" customFormat="1" ht="14.25" customHeight="1" x14ac:dyDescent="0.25">
      <c r="A221" s="38">
        <v>46009</v>
      </c>
      <c r="B221" s="13" t="s">
        <v>24</v>
      </c>
      <c r="C221" s="15" t="s">
        <v>60</v>
      </c>
      <c r="D221" s="23" t="s">
        <v>25</v>
      </c>
      <c r="E221" s="64" t="s">
        <v>207</v>
      </c>
      <c r="F221" s="65" t="s">
        <v>91</v>
      </c>
      <c r="G221" s="65" t="s">
        <v>410</v>
      </c>
      <c r="H221" s="14" t="s">
        <v>51</v>
      </c>
      <c r="I221" s="31" t="s">
        <v>39</v>
      </c>
      <c r="J221" s="14" t="s">
        <v>24</v>
      </c>
      <c r="K221" s="25" t="s">
        <v>34</v>
      </c>
      <c r="L221" s="16">
        <v>46012</v>
      </c>
      <c r="M221" s="14" t="s">
        <v>24</v>
      </c>
      <c r="N221" s="17">
        <v>84</v>
      </c>
      <c r="O221" s="29">
        <v>0</v>
      </c>
      <c r="P221" s="29">
        <v>89.51</v>
      </c>
      <c r="Q221" s="18">
        <v>3654.45</v>
      </c>
      <c r="R221" s="18">
        <v>0</v>
      </c>
      <c r="S221" s="39">
        <f t="shared" si="6"/>
        <v>3654.45</v>
      </c>
      <c r="T221" s="20" t="s">
        <v>24</v>
      </c>
      <c r="U221" s="20" t="s">
        <v>24</v>
      </c>
      <c r="V221" s="39">
        <v>0</v>
      </c>
      <c r="W221" s="36" t="s">
        <v>24</v>
      </c>
      <c r="X221" s="55"/>
      <c r="Y221" s="21" t="s">
        <v>29</v>
      </c>
    </row>
    <row r="222" spans="1:25" s="12" customFormat="1" ht="14.25" customHeight="1" x14ac:dyDescent="0.25">
      <c r="A222" s="38">
        <v>46011</v>
      </c>
      <c r="B222" s="13" t="s">
        <v>24</v>
      </c>
      <c r="C222" s="15" t="s">
        <v>60</v>
      </c>
      <c r="D222" s="23" t="s">
        <v>25</v>
      </c>
      <c r="E222" s="62" t="s">
        <v>209</v>
      </c>
      <c r="F222" s="63" t="s">
        <v>94</v>
      </c>
      <c r="G222" s="63" t="s">
        <v>411</v>
      </c>
      <c r="H222" s="14" t="s">
        <v>43</v>
      </c>
      <c r="I222" s="31" t="s">
        <v>44</v>
      </c>
      <c r="J222" s="14" t="s">
        <v>24</v>
      </c>
      <c r="K222" s="25" t="s">
        <v>34</v>
      </c>
      <c r="L222" s="16">
        <v>46014</v>
      </c>
      <c r="M222" s="14" t="s">
        <v>24</v>
      </c>
      <c r="N222" s="17">
        <v>84</v>
      </c>
      <c r="O222" s="29">
        <v>0</v>
      </c>
      <c r="P222" s="29">
        <v>0</v>
      </c>
      <c r="Q222" s="18">
        <v>333.24</v>
      </c>
      <c r="R222" s="18">
        <v>0</v>
      </c>
      <c r="S222" s="39">
        <f t="shared" si="6"/>
        <v>333.24</v>
      </c>
      <c r="T222" s="20" t="s">
        <v>24</v>
      </c>
      <c r="U222" s="20" t="s">
        <v>24</v>
      </c>
      <c r="V222" s="39">
        <v>0</v>
      </c>
      <c r="W222" s="36" t="s">
        <v>24</v>
      </c>
      <c r="X222" s="55"/>
      <c r="Y222" s="21" t="s">
        <v>29</v>
      </c>
    </row>
    <row r="223" spans="1:25" s="12" customFormat="1" ht="14.25" customHeight="1" x14ac:dyDescent="0.25">
      <c r="A223" s="38">
        <v>46012</v>
      </c>
      <c r="B223" s="13" t="s">
        <v>24</v>
      </c>
      <c r="C223" s="24" t="s">
        <v>35</v>
      </c>
      <c r="D223" s="23" t="s">
        <v>25</v>
      </c>
      <c r="E223" s="64" t="s">
        <v>412</v>
      </c>
      <c r="F223" s="65" t="s">
        <v>413</v>
      </c>
      <c r="G223" s="65" t="s">
        <v>414</v>
      </c>
      <c r="H223" s="14" t="s">
        <v>38</v>
      </c>
      <c r="I223" s="15" t="s">
        <v>27</v>
      </c>
      <c r="J223" s="14" t="s">
        <v>24</v>
      </c>
      <c r="K223" s="14" t="s">
        <v>32</v>
      </c>
      <c r="L223" s="16">
        <v>46015</v>
      </c>
      <c r="M223" s="14" t="s">
        <v>24</v>
      </c>
      <c r="N223" s="17">
        <v>0</v>
      </c>
      <c r="O223" s="29">
        <v>226.18</v>
      </c>
      <c r="P223" s="29">
        <v>584.02</v>
      </c>
      <c r="Q223" s="18">
        <v>12700</v>
      </c>
      <c r="R223" s="18">
        <v>12600</v>
      </c>
      <c r="S223" s="39">
        <f t="shared" si="6"/>
        <v>100</v>
      </c>
      <c r="T223" s="20" t="s">
        <v>24</v>
      </c>
      <c r="U223" s="20" t="s">
        <v>24</v>
      </c>
      <c r="V223" s="39">
        <v>0</v>
      </c>
      <c r="W223" s="36" t="s">
        <v>24</v>
      </c>
      <c r="X223" s="55"/>
      <c r="Y223" s="21" t="s">
        <v>29</v>
      </c>
    </row>
    <row r="224" spans="1:25" s="12" customFormat="1" ht="14.25" customHeight="1" x14ac:dyDescent="0.25">
      <c r="A224" s="38">
        <v>46014</v>
      </c>
      <c r="B224" s="13" t="s">
        <v>24</v>
      </c>
      <c r="C224" s="24" t="s">
        <v>35</v>
      </c>
      <c r="D224" s="21" t="s">
        <v>25</v>
      </c>
      <c r="E224" s="64" t="s">
        <v>415</v>
      </c>
      <c r="F224" s="65" t="s">
        <v>416</v>
      </c>
      <c r="G224" s="65" t="s">
        <v>417</v>
      </c>
      <c r="H224" s="14" t="s">
        <v>31</v>
      </c>
      <c r="I224" s="15" t="s">
        <v>27</v>
      </c>
      <c r="J224" s="14" t="s">
        <v>24</v>
      </c>
      <c r="K224" s="14" t="s">
        <v>32</v>
      </c>
      <c r="L224" s="16">
        <v>46017</v>
      </c>
      <c r="M224" s="14" t="s">
        <v>24</v>
      </c>
      <c r="N224" s="17">
        <v>0</v>
      </c>
      <c r="O224" s="29">
        <v>584.02</v>
      </c>
      <c r="P224" s="29">
        <v>584.02</v>
      </c>
      <c r="Q224" s="18">
        <v>12600</v>
      </c>
      <c r="R224" s="18">
        <v>0</v>
      </c>
      <c r="S224" s="39">
        <f t="shared" si="6"/>
        <v>12600</v>
      </c>
      <c r="T224" s="20" t="s">
        <v>24</v>
      </c>
      <c r="U224" s="20" t="s">
        <v>24</v>
      </c>
      <c r="V224" s="39">
        <v>0</v>
      </c>
      <c r="W224" s="36" t="s">
        <v>24</v>
      </c>
      <c r="X224" s="55"/>
      <c r="Y224" s="21" t="s">
        <v>29</v>
      </c>
    </row>
    <row r="225" spans="1:25" s="12" customFormat="1" ht="14.25" customHeight="1" x14ac:dyDescent="0.25">
      <c r="A225" s="38">
        <v>46016</v>
      </c>
      <c r="B225" s="13" t="s">
        <v>24</v>
      </c>
      <c r="C225" s="24" t="s">
        <v>35</v>
      </c>
      <c r="D225" s="21" t="s">
        <v>25</v>
      </c>
      <c r="E225" s="64" t="s">
        <v>418</v>
      </c>
      <c r="F225" s="65" t="s">
        <v>419</v>
      </c>
      <c r="G225" s="65" t="s">
        <v>420</v>
      </c>
      <c r="H225" s="52" t="s">
        <v>58</v>
      </c>
      <c r="I225" s="15" t="s">
        <v>27</v>
      </c>
      <c r="J225" s="14" t="s">
        <v>24</v>
      </c>
      <c r="K225" s="14" t="s">
        <v>32</v>
      </c>
      <c r="L225" s="16">
        <v>46019</v>
      </c>
      <c r="M225" s="14" t="s">
        <v>24</v>
      </c>
      <c r="N225" s="17">
        <v>84</v>
      </c>
      <c r="O225" s="29">
        <v>0</v>
      </c>
      <c r="P225" s="29">
        <v>39.74</v>
      </c>
      <c r="Q225" s="29">
        <v>1718.97</v>
      </c>
      <c r="R225" s="18">
        <v>701.87</v>
      </c>
      <c r="S225" s="39">
        <f t="shared" si="6"/>
        <v>1017.1</v>
      </c>
      <c r="T225" s="20" t="s">
        <v>24</v>
      </c>
      <c r="U225" s="20" t="s">
        <v>24</v>
      </c>
      <c r="V225" s="39">
        <v>0</v>
      </c>
      <c r="W225" s="36" t="s">
        <v>24</v>
      </c>
      <c r="X225" s="55"/>
      <c r="Y225" s="21" t="s">
        <v>29</v>
      </c>
    </row>
    <row r="226" spans="1:25" s="12" customFormat="1" ht="14.25" customHeight="1" x14ac:dyDescent="0.25">
      <c r="A226" s="38">
        <v>46017</v>
      </c>
      <c r="B226" s="13" t="s">
        <v>24</v>
      </c>
      <c r="C226" s="24" t="s">
        <v>35</v>
      </c>
      <c r="D226" s="21" t="s">
        <v>25</v>
      </c>
      <c r="E226" s="64" t="s">
        <v>421</v>
      </c>
      <c r="F226" s="65" t="s">
        <v>422</v>
      </c>
      <c r="G226" s="65" t="s">
        <v>423</v>
      </c>
      <c r="H226" s="14" t="s">
        <v>26</v>
      </c>
      <c r="I226" s="15" t="s">
        <v>27</v>
      </c>
      <c r="J226" s="14" t="s">
        <v>24</v>
      </c>
      <c r="K226" s="14" t="s">
        <v>32</v>
      </c>
      <c r="L226" s="16">
        <v>46020</v>
      </c>
      <c r="M226" s="14" t="s">
        <v>24</v>
      </c>
      <c r="N226" s="17">
        <v>84</v>
      </c>
      <c r="O226" s="29">
        <v>0</v>
      </c>
      <c r="P226" s="29">
        <v>57.84</v>
      </c>
      <c r="Q226" s="18">
        <v>0</v>
      </c>
      <c r="R226" s="18">
        <v>0</v>
      </c>
      <c r="S226" s="39">
        <f t="shared" si="6"/>
        <v>0</v>
      </c>
      <c r="T226" s="20" t="s">
        <v>24</v>
      </c>
      <c r="U226" s="20" t="s">
        <v>24</v>
      </c>
      <c r="V226" s="39">
        <v>0</v>
      </c>
      <c r="W226" s="36" t="s">
        <v>24</v>
      </c>
      <c r="X226" s="55"/>
      <c r="Y226" s="21" t="s">
        <v>29</v>
      </c>
    </row>
    <row r="227" spans="1:25" s="12" customFormat="1" ht="14.25" customHeight="1" x14ac:dyDescent="0.25">
      <c r="A227" s="38">
        <v>46019</v>
      </c>
      <c r="B227" s="13" t="s">
        <v>24</v>
      </c>
      <c r="C227" s="15" t="s">
        <v>60</v>
      </c>
      <c r="D227" s="23" t="s">
        <v>25</v>
      </c>
      <c r="E227" s="64" t="s">
        <v>424</v>
      </c>
      <c r="F227" s="65" t="s">
        <v>425</v>
      </c>
      <c r="G227" s="65" t="s">
        <v>426</v>
      </c>
      <c r="H227" s="14" t="s">
        <v>51</v>
      </c>
      <c r="I227" s="31" t="s">
        <v>39</v>
      </c>
      <c r="J227" s="14" t="s">
        <v>24</v>
      </c>
      <c r="K227" s="25" t="s">
        <v>48</v>
      </c>
      <c r="L227" s="16">
        <v>46022</v>
      </c>
      <c r="M227" s="14" t="s">
        <v>24</v>
      </c>
      <c r="N227" s="17">
        <v>0</v>
      </c>
      <c r="O227" s="29">
        <v>0</v>
      </c>
      <c r="P227" s="29">
        <v>0</v>
      </c>
      <c r="Q227" s="18">
        <v>15000</v>
      </c>
      <c r="R227" s="18">
        <v>0</v>
      </c>
      <c r="S227" s="39">
        <f t="shared" si="6"/>
        <v>15000</v>
      </c>
      <c r="T227" s="20" t="s">
        <v>24</v>
      </c>
      <c r="U227" s="20" t="s">
        <v>24</v>
      </c>
      <c r="V227" s="39">
        <v>0</v>
      </c>
      <c r="W227" s="36" t="s">
        <v>24</v>
      </c>
      <c r="X227" s="55"/>
      <c r="Y227" s="21" t="s">
        <v>29</v>
      </c>
    </row>
    <row r="228" spans="1:25" s="12" customFormat="1" ht="14.25" customHeight="1" x14ac:dyDescent="0.25">
      <c r="A228" s="38">
        <v>46021</v>
      </c>
      <c r="B228" s="13" t="s">
        <v>24</v>
      </c>
      <c r="C228" s="15" t="s">
        <v>62</v>
      </c>
      <c r="D228" s="23" t="s">
        <v>25</v>
      </c>
      <c r="E228" s="64" t="s">
        <v>427</v>
      </c>
      <c r="F228" s="65" t="s">
        <v>428</v>
      </c>
      <c r="G228" s="65" t="s">
        <v>429</v>
      </c>
      <c r="H228" s="14" t="s">
        <v>51</v>
      </c>
      <c r="I228" s="31" t="s">
        <v>39</v>
      </c>
      <c r="J228" s="14" t="s">
        <v>24</v>
      </c>
      <c r="K228" s="25" t="s">
        <v>48</v>
      </c>
      <c r="L228" s="16">
        <v>46024</v>
      </c>
      <c r="M228" s="14" t="s">
        <v>24</v>
      </c>
      <c r="N228" s="17">
        <v>0</v>
      </c>
      <c r="O228" s="29">
        <v>0</v>
      </c>
      <c r="P228" s="29">
        <v>0</v>
      </c>
      <c r="Q228" s="18">
        <v>15000</v>
      </c>
      <c r="R228" s="18">
        <v>0</v>
      </c>
      <c r="S228" s="39">
        <f t="shared" ref="S228" si="7">Q228-R228</f>
        <v>15000</v>
      </c>
      <c r="T228" s="20" t="s">
        <v>24</v>
      </c>
      <c r="U228" s="20" t="s">
        <v>24</v>
      </c>
      <c r="V228" s="39">
        <v>0</v>
      </c>
      <c r="W228" s="36" t="s">
        <v>24</v>
      </c>
      <c r="X228" s="55"/>
      <c r="Y228" s="21" t="s">
        <v>29</v>
      </c>
    </row>
  </sheetData>
  <autoFilter ref="A1:BF228" xr:uid="{00000000-0009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'C:\24 - CreFin\[3 - Planilha - Andamentos de Contratos - Att. 01-03-2021.xlsx]Ope. &amp; Status'!#REF!</xm:f>
          </x14:formula1>
          <xm:sqref>K2:K228 H2:H228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2026-05-19T02:46:39Z</dcterms:modified>
</cp:coreProperties>
</file>